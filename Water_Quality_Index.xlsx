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hidePivotFieldList="1"/>
  <mc:AlternateContent xmlns:mc="http://schemas.openxmlformats.org/markup-compatibility/2006">
    <mc:Choice Requires="x15">
      <x15ac:absPath xmlns:x15ac="http://schemas.microsoft.com/office/spreadsheetml/2010/11/ac" url="C:\Users\hp\Desktop\Field Work All Data Analysis\"/>
    </mc:Choice>
  </mc:AlternateContent>
  <xr:revisionPtr revIDLastSave="0" documentId="13_ncr:1_{0D6FEBC5-A244-48FA-9E4D-15542F96E980}" xr6:coauthVersionLast="47" xr6:coauthVersionMax="47" xr10:uidLastSave="{00000000-0000-0000-0000-000000000000}"/>
  <bookViews>
    <workbookView xWindow="-108" yWindow="-108" windowWidth="23256" windowHeight="12456" xr2:uid="{00000000-000D-0000-FFFF-FFFF00000000}"/>
  </bookViews>
  <sheets>
    <sheet name="Water Data" sheetId="3" r:id="rId1"/>
    <sheet name="WQI Calculation" sheetId="1" r:id="rId2"/>
    <sheet name="WQI Pivot Table" sheetId="4" r:id="rId3"/>
    <sheet name="WQI Dashboard" sheetId="5" r:id="rId4"/>
  </sheets>
  <definedNames>
    <definedName name="Slicer_Class">#N/A</definedName>
    <definedName name="Slicer_Type">#N/A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<sst xmlns="http://schemas.openxmlformats.org/spreadsheetml/2006/main" count="196" uniqueCount="82">
  <si>
    <t>No.</t>
  </si>
  <si>
    <t>Local Name</t>
  </si>
  <si>
    <t>Water Type</t>
  </si>
  <si>
    <t>Weather</t>
  </si>
  <si>
    <t>pH</t>
  </si>
  <si>
    <t>DO (mg/L)</t>
  </si>
  <si>
    <t>Temperature (°C)</t>
  </si>
  <si>
    <t>EC</t>
  </si>
  <si>
    <t>TDS</t>
  </si>
  <si>
    <t>ORP (mV)</t>
  </si>
  <si>
    <t>Pressure (atm)</t>
  </si>
  <si>
    <t>Salinity (PSU)</t>
  </si>
  <si>
    <t>Kolatoli Beach</t>
  </si>
  <si>
    <t>Marine</t>
  </si>
  <si>
    <t>Sunny</t>
  </si>
  <si>
    <t>52.58 mS/cm</t>
  </si>
  <si>
    <t>26.29 ppt</t>
  </si>
  <si>
    <t>Kolatoli</t>
  </si>
  <si>
    <t>Fresh</t>
  </si>
  <si>
    <t>492.0 μS/cm</t>
  </si>
  <si>
    <t>244.0 ppm</t>
  </si>
  <si>
    <t>52.62 mS/cm</t>
  </si>
  <si>
    <t>26.33 ppt</t>
  </si>
  <si>
    <t>377.0 μS/cm</t>
  </si>
  <si>
    <t>166.0 ppm</t>
  </si>
  <si>
    <t>655.0 μS/cm</t>
  </si>
  <si>
    <t>327.0 ppm</t>
  </si>
  <si>
    <t>Sugandha Beach</t>
  </si>
  <si>
    <t>52.68 mS/cm</t>
  </si>
  <si>
    <t>26.34 ppt</t>
  </si>
  <si>
    <t>Sugandha</t>
  </si>
  <si>
    <t>407.0 μS/cm</t>
  </si>
  <si>
    <t>203.0 ppm</t>
  </si>
  <si>
    <t>Sugandha Jhaubon</t>
  </si>
  <si>
    <t>52.7 mS/cm</t>
  </si>
  <si>
    <t>26.36 ppt</t>
  </si>
  <si>
    <t>Laboni Beach Road</t>
  </si>
  <si>
    <t>1237.0 μS/cm</t>
  </si>
  <si>
    <t>590.0 ppm</t>
  </si>
  <si>
    <t>Laboni Beach</t>
  </si>
  <si>
    <t>52.53 mS/cm</t>
  </si>
  <si>
    <t>26.31 ppt</t>
  </si>
  <si>
    <t>Khunia-palong, Himchhari</t>
  </si>
  <si>
    <t>512.0 μS/cm</t>
  </si>
  <si>
    <t>255.0 ppm</t>
  </si>
  <si>
    <t>Himchhari Marine Drive</t>
  </si>
  <si>
    <t>52.81 mS/cm</t>
  </si>
  <si>
    <t>26.4 ppt</t>
  </si>
  <si>
    <t>Inani Beach</t>
  </si>
  <si>
    <t>684.0 μS/cm</t>
  </si>
  <si>
    <t>342.0 ppm</t>
  </si>
  <si>
    <t>52.93 mS/cm</t>
  </si>
  <si>
    <t>26.46 ppt</t>
  </si>
  <si>
    <t>Chowang-khali Sampan Beach</t>
  </si>
  <si>
    <t>52.94 mS/cm</t>
  </si>
  <si>
    <t>26.48 ppt</t>
  </si>
  <si>
    <t>2376.0 μS/cm</t>
  </si>
  <si>
    <t>1175.0 ppm</t>
  </si>
  <si>
    <t>Shah-porir Dweep (Salt Harvesting Field)</t>
  </si>
  <si>
    <t>Marine/Brine</t>
  </si>
  <si>
    <t>78.6 mS/cm</t>
  </si>
  <si>
    <t>39.3 ppt</t>
  </si>
  <si>
    <t>Location</t>
  </si>
  <si>
    <t>Type</t>
  </si>
  <si>
    <t>EC (µS/cm)</t>
  </si>
  <si>
    <t>TDS (ppm)</t>
  </si>
  <si>
    <t>WQI</t>
  </si>
  <si>
    <t>Class</t>
  </si>
  <si>
    <t>Very Poor</t>
  </si>
  <si>
    <t>Unsuitable</t>
  </si>
  <si>
    <t>Khunia-Palong, Himchhari</t>
  </si>
  <si>
    <t>Shah-Porir Dweep — Salt Harvesting Field</t>
  </si>
  <si>
    <t>Very Poor*</t>
  </si>
  <si>
    <t>Longitude</t>
  </si>
  <si>
    <t>Latitude</t>
  </si>
  <si>
    <t>Grand Total</t>
  </si>
  <si>
    <t>Average of pH</t>
  </si>
  <si>
    <t>Average of DO (mg/L)</t>
  </si>
  <si>
    <t>Average of TDS (ppm)</t>
  </si>
  <si>
    <t>Average of WQI</t>
  </si>
  <si>
    <t>Count of Class</t>
  </si>
  <si>
    <t>WQI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</si>
</sst>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Calibri"/>
      <charset val="134"/>
      <scheme val="minor"/>
    </font>
    <font>
      <sz val="11"/>
      <color theme="1"/>
      <name val="Times New Roman"/>
      <charset val="134"/>
    </font>
    <font>
      <sz val="12"/>
      <color theme="1"/>
      <name val="Times New Roman"/>
      <charset val="134"/>
    </font>
    <font>
      <b/>
      <sz val="11"/>
      <color theme="1"/>
      <name val="Times New Roman"/>
      <charset val="134"/>
    </font>
    <font>
      <b/>
      <sz val="12"/>
      <name val="Times New Roman"/>
      <charset val="134"/>
    </font>
    <font>
      <sz val="12"/>
      <color theme="1"/>
      <name val="Times New Roman"/>
      <charset val="134"/>
    </font>
    <font>
      <b/>
      <sz val="20"/>
      <color theme="1"/>
      <name val="Arial Black"/>
      <family val="2"/>
    </font>
  </fonts>
  <fills count="3">
    <fill>
      <patternFill patternType="none"/>
    </fill>
    <fill>
      <patternFill patternType="gray125"/>
    </fill>
    <fill>
      <patternFill patternType="solid">
        <fgColor theme="4" tint="0.59999389629810485"/>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40">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2" fillId="0" borderId="0" xfId="0" applyFont="1" applyAlignment="1">
      <alignment horizontal="left"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2" xfId="0" applyFont="1" applyBorder="1" applyAlignment="1">
      <alignment horizontal="left" vertical="center" wrapText="1"/>
    </xf>
    <xf numFmtId="0" fontId="5" fillId="0" borderId="9" xfId="0" applyFont="1" applyBorder="1" applyAlignment="1">
      <alignment horizontal="center" vertical="center" wrapText="1"/>
    </xf>
    <xf numFmtId="2" fontId="1"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2" fontId="1" fillId="0" borderId="2" xfId="0" applyNumberFormat="1" applyFont="1" applyBorder="1" applyAlignment="1">
      <alignment horizontal="center" vertical="center" wrapText="1"/>
    </xf>
    <xf numFmtId="2" fontId="3" fillId="0" borderId="2" xfId="0" applyNumberFormat="1" applyFont="1" applyBorder="1" applyAlignment="1">
      <alignment horizontal="center" vertical="center" wrapText="1"/>
    </xf>
    <xf numFmtId="1" fontId="1" fillId="0" borderId="0" xfId="0" applyNumberFormat="1" applyFont="1" applyAlignment="1">
      <alignment horizontal="center" vertical="center"/>
    </xf>
    <xf numFmtId="1" fontId="1" fillId="0" borderId="3" xfId="0" applyNumberFormat="1" applyFont="1" applyBorder="1" applyAlignment="1">
      <alignment horizontal="center" vertical="center" wrapText="1"/>
    </xf>
    <xf numFmtId="1" fontId="1" fillId="0" borderId="8" xfId="0" applyNumberFormat="1" applyFont="1" applyBorder="1" applyAlignment="1">
      <alignment horizontal="center" vertical="center" wrapText="1"/>
    </xf>
    <xf numFmtId="2" fontId="3" fillId="0" borderId="4" xfId="0" applyNumberFormat="1" applyFont="1" applyBorder="1" applyAlignment="1">
      <alignment horizontal="center" vertical="center" wrapText="1"/>
    </xf>
    <xf numFmtId="2" fontId="1" fillId="0" borderId="4" xfId="0" applyNumberFormat="1" applyFont="1" applyBorder="1" applyAlignment="1">
      <alignment horizontal="center" vertical="center" wrapText="1"/>
    </xf>
    <xf numFmtId="2" fontId="1" fillId="0" borderId="9" xfId="0" applyNumberFormat="1" applyFont="1" applyBorder="1" applyAlignment="1">
      <alignment horizontal="center" vertical="center" wrapText="1"/>
    </xf>
    <xf numFmtId="1" fontId="3" fillId="0" borderId="10" xfId="0" applyNumberFormat="1" applyFont="1" applyBorder="1" applyAlignment="1">
      <alignment horizontal="center" vertical="center" wrapText="1"/>
    </xf>
    <xf numFmtId="2" fontId="3" fillId="0" borderId="5" xfId="0" applyNumberFormat="1" applyFont="1" applyBorder="1" applyAlignment="1">
      <alignment horizontal="center" vertical="center" wrapText="1"/>
    </xf>
    <xf numFmtId="2" fontId="3" fillId="0" borderId="7" xfId="0" applyNumberFormat="1" applyFont="1" applyBorder="1" applyAlignment="1">
      <alignment horizontal="center" vertical="center" wrapText="1"/>
    </xf>
    <xf numFmtId="0" fontId="0" fillId="0" borderId="1" xfId="0" pivotButton="1" applyBorder="1">
      <alignment vertical="center"/>
    </xf>
    <xf numFmtId="0" fontId="0" fillId="0" borderId="1" xfId="0" applyBorder="1">
      <alignment vertical="center"/>
    </xf>
    <xf numFmtId="2" fontId="0" fillId="0" borderId="1" xfId="0" applyNumberFormat="1" applyBorder="1">
      <alignment vertical="center"/>
    </xf>
    <xf numFmtId="0" fontId="0" fillId="0" borderId="1" xfId="0" applyNumberFormat="1" applyBorder="1">
      <alignment vertical="center"/>
    </xf>
    <xf numFmtId="0" fontId="0" fillId="0" borderId="5" xfId="0" pivotButton="1" applyBorder="1">
      <alignment vertical="center"/>
    </xf>
    <xf numFmtId="0" fontId="0" fillId="0" borderId="5" xfId="0" applyBorder="1">
      <alignment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cellXfs>
  <cellStyles count="1">
    <cellStyle name="Normal" xfId="0" builtinId="0"/>
  </cellStyles>
  <dxfs count="21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Times New Roman"/>
        <charset val="134"/>
        <scheme val="none"/>
      </font>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2"/>
        <color auto="1"/>
        <name val="Times New Roman"/>
        <charset val="134"/>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Times New Roman"/>
        <charset val="134"/>
        <scheme val="none"/>
      </font>
      <numFmt numFmtId="2" formatCode="0.00"/>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1"/>
        <color theme="1"/>
        <name val="Times New Roman"/>
        <charset val="134"/>
        <scheme val="none"/>
      </font>
      <numFmt numFmtId="2" formatCode="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charset val="134"/>
        <scheme val="none"/>
      </font>
      <numFmt numFmtId="2" formatCode="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charset val="134"/>
        <scheme val="none"/>
      </font>
      <numFmt numFmtId="2" formatCode="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charset val="134"/>
        <scheme val="none"/>
      </font>
      <numFmt numFmtId="2" formatCode="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charset val="134"/>
        <scheme val="none"/>
      </font>
      <numFmt numFmtId="2" formatCode="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charset val="134"/>
        <scheme val="none"/>
      </font>
      <numFmt numFmtId="2" formatCode="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charset val="134"/>
        <scheme val="none"/>
      </font>
      <numFmt numFmtId="2" formatCode="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charset val="134"/>
        <scheme val="none"/>
      </font>
      <numFmt numFmtId="2" formatCode="0.0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charset val="134"/>
        <scheme val="none"/>
      </font>
      <numFmt numFmtId="1" formatCode="0"/>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rder>
    </dxf>
    <dxf>
      <font>
        <b val="0"/>
        <i val="0"/>
        <strike val="0"/>
        <condense val="0"/>
        <extend val="0"/>
        <outline val="0"/>
        <shadow val="0"/>
        <u val="none"/>
        <vertAlign val="baseline"/>
        <sz val="11"/>
        <color theme="1"/>
        <name val="Times New Roman"/>
        <charset val="134"/>
        <scheme val="none"/>
      </font>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Times New Roman"/>
        <charset val="134"/>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18"/>
      <tableStyleElement type="headerRow" dxfId="217"/>
      <tableStyleElement type="totalRow" dxfId="216"/>
      <tableStyleElement type="firstColumn" dxfId="215"/>
      <tableStyleElement type="lastColumn" dxfId="214"/>
      <tableStyleElement type="firstRowStripe" dxfId="213"/>
      <tableStyleElement type="firstColumnStripe" dxfId="212"/>
    </tableStyle>
    <tableStyle name="PivotStylePreset2_Accent1" table="0" count="10" xr9:uid="{267968C8-6FFD-4C36-ACC1-9EA1FD1885CA}">
      <tableStyleElement type="headerRow" dxfId="211"/>
      <tableStyleElement type="totalRow" dxfId="210"/>
      <tableStyleElement type="firstRowStripe" dxfId="209"/>
      <tableStyleElement type="firstColumnStripe" dxfId="208"/>
      <tableStyleElement type="firstSubtotalRow" dxfId="207"/>
      <tableStyleElement type="secondSubtotalRow" dxfId="206"/>
      <tableStyleElement type="firstRowSubheading" dxfId="205"/>
      <tableStyleElement type="secondRowSubheading" dxfId="204"/>
      <tableStyleElement type="pageFieldLabels" dxfId="203"/>
      <tableStyleElement type="pageFieldValues" dxfId="20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[Water_Quality_Index.xlsx]WQI 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0" i="0" u="none" strike="noStrike" baseline="0">
                <a:latin typeface="Times New Roman" panose="02020603050405020304" pitchFamily="18" charset="0"/>
                <a:cs typeface="Times New Roman" panose="02020603050405020304" pitchFamily="18" charset="0"/>
              </a:rPr>
              <a:t>Water Quality Parameters &amp; WQI by Water Type</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'WQI Pivot Table'!$D$3</c:f>
              <c:strCache>
                <c:ptCount val="1"/>
                <c:pt idx="0">
                  <c:v>Average of pH</c:v>
                </c:pt>
              </c:strCache>
            </c:strRef>
          </c:tx>
          <c:spPr>
            <a:solidFill>
              <a:schemeClr val="accent1"/>
            </a:solidFill>
            <a:ln>
              <a:noFill/>
            </a:ln>
            <a:effectLst/>
          </c:spPr>
          <c:invertIfNegative val="0"/>
          <c:cat>
            <c:strRef>
              <c:f>'WQI Pivot Table'!$C$4:$C$7</c:f>
              <c:strCache>
                <c:ptCount val="3"/>
                <c:pt idx="0">
                  <c:v>Fresh</c:v>
                </c:pt>
                <c:pt idx="1">
                  <c:v>Marine</c:v>
                </c:pt>
                <c:pt idx="2">
                  <c:v>Marine/Brine</c:v>
                </c:pt>
              </c:strCache>
            </c:strRef>
          </c:cat>
          <c:val>
            <c:numRef>
              <c:f>'WQI Pivot Table'!$D$4:$D$7</c:f>
              <c:numCache>
                <c:formatCode>0.00</c:formatCode>
                <c:ptCount val="3"/>
                <c:pt idx="0">
                  <c:v>6.7900000000000009</c:v>
                </c:pt>
                <c:pt idx="1">
                  <c:v>7.19</c:v>
                </c:pt>
                <c:pt idx="2">
                  <c:v>7.18</c:v>
                </c:pt>
              </c:numCache>
            </c:numRef>
          </c:val>
          <c:extLst>
            <c:ext xmlns:c16="http://schemas.microsoft.com/office/drawing/2014/chart" uri="{C3380CC4-5D6E-409C-BE32-E72D297353CC}">
              <c16:uniqueId val="{00000000-B2BB-4225-95E3-E1AC4DC4BA78}"/>
            </c:ext>
          </c:extLst>
        </c:ser>
        <c:ser>
          <c:idx val="1"/>
          <c:order val="1"/>
          <c:tx>
            <c:strRef>
              <c:f>'WQI Pivot Table'!$E$3</c:f>
              <c:strCache>
                <c:ptCount val="1"/>
                <c:pt idx="0">
                  <c:v>Average of DO (mg/L)</c:v>
                </c:pt>
              </c:strCache>
            </c:strRef>
          </c:tx>
          <c:spPr>
            <a:solidFill>
              <a:schemeClr val="accent2"/>
            </a:solidFill>
            <a:ln>
              <a:noFill/>
            </a:ln>
            <a:effectLst/>
          </c:spPr>
          <c:invertIfNegative val="0"/>
          <c:cat>
            <c:strRef>
              <c:f>'WQI Pivot Table'!$C$4:$C$7</c:f>
              <c:strCache>
                <c:ptCount val="3"/>
                <c:pt idx="0">
                  <c:v>Fresh</c:v>
                </c:pt>
                <c:pt idx="1">
                  <c:v>Marine</c:v>
                </c:pt>
                <c:pt idx="2">
                  <c:v>Marine/Brine</c:v>
                </c:pt>
              </c:strCache>
            </c:strRef>
          </c:cat>
          <c:val>
            <c:numRef>
              <c:f>'WQI Pivot Table'!$E$4:$E$7</c:f>
              <c:numCache>
                <c:formatCode>0.00</c:formatCode>
                <c:ptCount val="3"/>
                <c:pt idx="0">
                  <c:v>1.5375000000000001</c:v>
                </c:pt>
                <c:pt idx="1">
                  <c:v>3.2624999999999993</c:v>
                </c:pt>
                <c:pt idx="2">
                  <c:v>4.0999999999999996</c:v>
                </c:pt>
              </c:numCache>
            </c:numRef>
          </c:val>
          <c:extLst>
            <c:ext xmlns:c16="http://schemas.microsoft.com/office/drawing/2014/chart" uri="{C3380CC4-5D6E-409C-BE32-E72D297353CC}">
              <c16:uniqueId val="{00000001-B2BB-4225-95E3-E1AC4DC4BA78}"/>
            </c:ext>
          </c:extLst>
        </c:ser>
        <c:ser>
          <c:idx val="2"/>
          <c:order val="2"/>
          <c:tx>
            <c:strRef>
              <c:f>'WQI Pivot Table'!$F$3</c:f>
              <c:strCache>
                <c:ptCount val="1"/>
                <c:pt idx="0">
                  <c:v>Average of TDS (ppm)</c:v>
                </c:pt>
              </c:strCache>
            </c:strRef>
          </c:tx>
          <c:spPr>
            <a:solidFill>
              <a:schemeClr val="accent3"/>
            </a:solidFill>
            <a:ln>
              <a:noFill/>
            </a:ln>
            <a:effectLst/>
          </c:spPr>
          <c:invertIfNegative val="0"/>
          <c:cat>
            <c:strRef>
              <c:f>'WQI Pivot Table'!$C$4:$C$7</c:f>
              <c:strCache>
                <c:ptCount val="3"/>
                <c:pt idx="0">
                  <c:v>Fresh</c:v>
                </c:pt>
                <c:pt idx="1">
                  <c:v>Marine</c:v>
                </c:pt>
                <c:pt idx="2">
                  <c:v>Marine/Brine</c:v>
                </c:pt>
              </c:strCache>
            </c:strRef>
          </c:cat>
          <c:val>
            <c:numRef>
              <c:f>'WQI Pivot Table'!$F$4:$F$7</c:f>
              <c:numCache>
                <c:formatCode>0.00</c:formatCode>
                <c:ptCount val="3"/>
                <c:pt idx="0">
                  <c:v>412.75</c:v>
                </c:pt>
                <c:pt idx="1">
                  <c:v>26371.25</c:v>
                </c:pt>
                <c:pt idx="2">
                  <c:v>39300</c:v>
                </c:pt>
              </c:numCache>
            </c:numRef>
          </c:val>
          <c:extLst>
            <c:ext xmlns:c16="http://schemas.microsoft.com/office/drawing/2014/chart" uri="{C3380CC4-5D6E-409C-BE32-E72D297353CC}">
              <c16:uniqueId val="{00000002-B2BB-4225-95E3-E1AC4DC4BA78}"/>
            </c:ext>
          </c:extLst>
        </c:ser>
        <c:ser>
          <c:idx val="3"/>
          <c:order val="3"/>
          <c:tx>
            <c:strRef>
              <c:f>'WQI Pivot Table'!$G$3</c:f>
              <c:strCache>
                <c:ptCount val="1"/>
                <c:pt idx="0">
                  <c:v>Average of WQI</c:v>
                </c:pt>
              </c:strCache>
            </c:strRef>
          </c:tx>
          <c:spPr>
            <a:solidFill>
              <a:schemeClr val="accent4"/>
            </a:solidFill>
            <a:ln>
              <a:noFill/>
            </a:ln>
            <a:effectLst/>
          </c:spPr>
          <c:invertIfNegative val="0"/>
          <c:cat>
            <c:strRef>
              <c:f>'WQI Pivot Table'!$C$4:$C$7</c:f>
              <c:strCache>
                <c:ptCount val="3"/>
                <c:pt idx="0">
                  <c:v>Fresh</c:v>
                </c:pt>
                <c:pt idx="1">
                  <c:v>Marine</c:v>
                </c:pt>
                <c:pt idx="2">
                  <c:v>Marine/Brine</c:v>
                </c:pt>
              </c:strCache>
            </c:strRef>
          </c:cat>
          <c:val>
            <c:numRef>
              <c:f>'WQI Pivot Table'!$G$4:$G$7</c:f>
              <c:numCache>
                <c:formatCode>0.00</c:formatCode>
                <c:ptCount val="3"/>
                <c:pt idx="0">
                  <c:v>95.841250000000002</c:v>
                </c:pt>
                <c:pt idx="1">
                  <c:v>83.074999999999989</c:v>
                </c:pt>
                <c:pt idx="2">
                  <c:v>76.55</c:v>
                </c:pt>
              </c:numCache>
            </c:numRef>
          </c:val>
          <c:extLst>
            <c:ext xmlns:c16="http://schemas.microsoft.com/office/drawing/2014/chart" uri="{C3380CC4-5D6E-409C-BE32-E72D297353CC}">
              <c16:uniqueId val="{00000003-B2BB-4225-95E3-E1AC4DC4BA78}"/>
            </c:ext>
          </c:extLst>
        </c:ser>
        <c:dLbls>
          <c:showLegendKey val="0"/>
          <c:showVal val="0"/>
          <c:showCatName val="0"/>
          <c:showSerName val="0"/>
          <c:showPercent val="0"/>
          <c:showBubbleSize val="0"/>
        </c:dLbls>
        <c:gapWidth val="219"/>
        <c:overlap val="-27"/>
        <c:axId val="1392502671"/>
        <c:axId val="1272395887"/>
      </c:barChart>
      <c:catAx>
        <c:axId val="139250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95887"/>
        <c:crosses val="autoZero"/>
        <c:auto val="1"/>
        <c:lblAlgn val="ctr"/>
        <c:lblOffset val="100"/>
        <c:noMultiLvlLbl val="0"/>
      </c:catAx>
      <c:valAx>
        <c:axId val="1272395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50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[Water_Quality_Index.xlsx]WQI 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0" i="0" u="none" strike="noStrike" baseline="0">
                <a:latin typeface="Times New Roman" panose="02020603050405020304" pitchFamily="18" charset="0"/>
                <a:cs typeface="Times New Roman" panose="02020603050405020304" pitchFamily="18" charset="0"/>
              </a:rPr>
              <a:t>Location-wise Water Quality Index (WQI)</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'WQI Pivot Table'!$J$3:$J$4</c:f>
              <c:strCache>
                <c:ptCount val="1"/>
                <c:pt idx="0">
                  <c:v>Fresh</c:v>
                </c:pt>
              </c:strCache>
            </c:strRef>
          </c:tx>
          <c:spPr>
            <a:solidFill>
              <a:schemeClr val="accent1"/>
            </a:solidFill>
            <a:ln>
              <a:noFill/>
            </a:ln>
            <a:effectLst/>
          </c:spPr>
          <c:invertIfNegative val="0"/>
          <c:cat>
            <c:strRef>
              <c:f>'WQI Pivot Table'!$I$5:$I$17</c:f>
              <c:strCache>
                <c:ptCount val="12"/>
                <c:pt idx="0">
                  <c:v>Chowang-khali Sampan Beach</c:v>
                </c:pt>
                <c:pt idx="1">
                  <c:v>Himchhari Marine Drive</c:v>
                </c:pt>
                <c:pt idx="2">
                  <c:v>Inani Beach</c:v>
                </c:pt>
                <c:pt idx="3">
                  <c:v>Khunia-Palong, Himchhari</c:v>
                </c:pt>
                <c:pt idx="4">
                  <c:v>Kolatoli</c:v>
                </c:pt>
                <c:pt idx="5">
                  <c:v>Kolatoli Beach</c:v>
                </c:pt>
                <c:pt idx="6">
                  <c:v>Laboni Beach</c:v>
                </c:pt>
                <c:pt idx="7">
                  <c:v>Laboni Beach Road</c:v>
                </c:pt>
                <c:pt idx="8">
                  <c:v>Shah-Porir Dweep — Salt Harvesting Field</c:v>
                </c:pt>
                <c:pt idx="9">
                  <c:v>Sugandha</c:v>
                </c:pt>
                <c:pt idx="10">
                  <c:v>Sugandha Beach</c:v>
                </c:pt>
                <c:pt idx="11">
                  <c:v>Sugandha Jhaubon</c:v>
                </c:pt>
              </c:strCache>
            </c:strRef>
          </c:cat>
          <c:val>
            <c:numRef>
              <c:f>'WQI Pivot Table'!$J$5:$J$17</c:f>
              <c:numCache>
                <c:formatCode>0.00</c:formatCode>
                <c:ptCount val="12"/>
                <c:pt idx="0">
                  <c:v>103.32</c:v>
                </c:pt>
                <c:pt idx="2">
                  <c:v>90.7</c:v>
                </c:pt>
                <c:pt idx="3">
                  <c:v>98.24</c:v>
                </c:pt>
                <c:pt idx="4">
                  <c:v>94.16</c:v>
                </c:pt>
                <c:pt idx="5">
                  <c:v>91.08</c:v>
                </c:pt>
                <c:pt idx="7">
                  <c:v>104.67</c:v>
                </c:pt>
                <c:pt idx="9">
                  <c:v>90.4</c:v>
                </c:pt>
              </c:numCache>
            </c:numRef>
          </c:val>
          <c:extLst>
            <c:ext xmlns:c16="http://schemas.microsoft.com/office/drawing/2014/chart" uri="{C3380CC4-5D6E-409C-BE32-E72D297353CC}">
              <c16:uniqueId val="{00000000-7AB9-4572-BC9D-B3D3BF865940}"/>
            </c:ext>
          </c:extLst>
        </c:ser>
        <c:ser>
          <c:idx val="1"/>
          <c:order val="1"/>
          <c:tx>
            <c:strRef>
              <c:f>'WQI Pivot Table'!$K$3:$K$4</c:f>
              <c:strCache>
                <c:ptCount val="1"/>
                <c:pt idx="0">
                  <c:v>Marine</c:v>
                </c:pt>
              </c:strCache>
            </c:strRef>
          </c:tx>
          <c:spPr>
            <a:solidFill>
              <a:schemeClr val="accent2"/>
            </a:solidFill>
            <a:ln>
              <a:noFill/>
            </a:ln>
            <a:effectLst/>
          </c:spPr>
          <c:invertIfNegative val="0"/>
          <c:cat>
            <c:strRef>
              <c:f>'WQI Pivot Table'!$I$5:$I$17</c:f>
              <c:strCache>
                <c:ptCount val="12"/>
                <c:pt idx="0">
                  <c:v>Chowang-khali Sampan Beach</c:v>
                </c:pt>
                <c:pt idx="1">
                  <c:v>Himchhari Marine Drive</c:v>
                </c:pt>
                <c:pt idx="2">
                  <c:v>Inani Beach</c:v>
                </c:pt>
                <c:pt idx="3">
                  <c:v>Khunia-Palong, Himchhari</c:v>
                </c:pt>
                <c:pt idx="4">
                  <c:v>Kolatoli</c:v>
                </c:pt>
                <c:pt idx="5">
                  <c:v>Kolatoli Beach</c:v>
                </c:pt>
                <c:pt idx="6">
                  <c:v>Laboni Beach</c:v>
                </c:pt>
                <c:pt idx="7">
                  <c:v>Laboni Beach Road</c:v>
                </c:pt>
                <c:pt idx="8">
                  <c:v>Shah-Porir Dweep — Salt Harvesting Field</c:v>
                </c:pt>
                <c:pt idx="9">
                  <c:v>Sugandha</c:v>
                </c:pt>
                <c:pt idx="10">
                  <c:v>Sugandha Beach</c:v>
                </c:pt>
                <c:pt idx="11">
                  <c:v>Sugandha Jhaubon</c:v>
                </c:pt>
              </c:strCache>
            </c:strRef>
          </c:cat>
          <c:val>
            <c:numRef>
              <c:f>'WQI Pivot Table'!$K$5:$K$17</c:f>
              <c:numCache>
                <c:formatCode>0.00</c:formatCode>
                <c:ptCount val="12"/>
                <c:pt idx="0">
                  <c:v>81.96</c:v>
                </c:pt>
                <c:pt idx="1">
                  <c:v>77.900000000000006</c:v>
                </c:pt>
                <c:pt idx="2">
                  <c:v>83.05</c:v>
                </c:pt>
                <c:pt idx="5">
                  <c:v>88.314999999999998</c:v>
                </c:pt>
                <c:pt idx="6">
                  <c:v>78.28</c:v>
                </c:pt>
                <c:pt idx="10">
                  <c:v>83.52</c:v>
                </c:pt>
                <c:pt idx="11">
                  <c:v>83.26</c:v>
                </c:pt>
              </c:numCache>
            </c:numRef>
          </c:val>
          <c:extLst>
            <c:ext xmlns:c16="http://schemas.microsoft.com/office/drawing/2014/chart" uri="{C3380CC4-5D6E-409C-BE32-E72D297353CC}">
              <c16:uniqueId val="{00000005-7AB9-4572-BC9D-B3D3BF865940}"/>
            </c:ext>
          </c:extLst>
        </c:ser>
        <c:ser>
          <c:idx val="2"/>
          <c:order val="2"/>
          <c:tx>
            <c:strRef>
              <c:f>'WQI Pivot Table'!$L$3:$L$4</c:f>
              <c:strCache>
                <c:ptCount val="1"/>
                <c:pt idx="0">
                  <c:v>Marine/Brine</c:v>
                </c:pt>
              </c:strCache>
            </c:strRef>
          </c:tx>
          <c:spPr>
            <a:solidFill>
              <a:schemeClr val="accent3"/>
            </a:solidFill>
            <a:ln>
              <a:noFill/>
            </a:ln>
            <a:effectLst/>
          </c:spPr>
          <c:invertIfNegative val="0"/>
          <c:cat>
            <c:strRef>
              <c:f>'WQI Pivot Table'!$I$5:$I$17</c:f>
              <c:strCache>
                <c:ptCount val="12"/>
                <c:pt idx="0">
                  <c:v>Chowang-khali Sampan Beach</c:v>
                </c:pt>
                <c:pt idx="1">
                  <c:v>Himchhari Marine Drive</c:v>
                </c:pt>
                <c:pt idx="2">
                  <c:v>Inani Beach</c:v>
                </c:pt>
                <c:pt idx="3">
                  <c:v>Khunia-Palong, Himchhari</c:v>
                </c:pt>
                <c:pt idx="4">
                  <c:v>Kolatoli</c:v>
                </c:pt>
                <c:pt idx="5">
                  <c:v>Kolatoli Beach</c:v>
                </c:pt>
                <c:pt idx="6">
                  <c:v>Laboni Beach</c:v>
                </c:pt>
                <c:pt idx="7">
                  <c:v>Laboni Beach Road</c:v>
                </c:pt>
                <c:pt idx="8">
                  <c:v>Shah-Porir Dweep — Salt Harvesting Field</c:v>
                </c:pt>
                <c:pt idx="9">
                  <c:v>Sugandha</c:v>
                </c:pt>
                <c:pt idx="10">
                  <c:v>Sugandha Beach</c:v>
                </c:pt>
                <c:pt idx="11">
                  <c:v>Sugandha Jhaubon</c:v>
                </c:pt>
              </c:strCache>
            </c:strRef>
          </c:cat>
          <c:val>
            <c:numRef>
              <c:f>'WQI Pivot Table'!$L$5:$L$17</c:f>
              <c:numCache>
                <c:formatCode>0.00</c:formatCode>
                <c:ptCount val="12"/>
                <c:pt idx="8">
                  <c:v>76.55</c:v>
                </c:pt>
              </c:numCache>
            </c:numRef>
          </c:val>
          <c:extLst>
            <c:ext xmlns:c16="http://schemas.microsoft.com/office/drawing/2014/chart" uri="{C3380CC4-5D6E-409C-BE32-E72D297353CC}">
              <c16:uniqueId val="{00000006-7AB9-4572-BC9D-B3D3BF865940}"/>
            </c:ext>
          </c:extLst>
        </c:ser>
        <c:dLbls>
          <c:showLegendKey val="0"/>
          <c:showVal val="0"/>
          <c:showCatName val="0"/>
          <c:showSerName val="0"/>
          <c:showPercent val="0"/>
          <c:showBubbleSize val="0"/>
        </c:dLbls>
        <c:gapWidth val="182"/>
        <c:axId val="1506794415"/>
        <c:axId val="1272370447"/>
      </c:barChart>
      <c:catAx>
        <c:axId val="150679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70447"/>
        <c:crosses val="autoZero"/>
        <c:auto val="1"/>
        <c:lblAlgn val="ctr"/>
        <c:lblOffset val="100"/>
        <c:noMultiLvlLbl val="0"/>
      </c:catAx>
      <c:valAx>
        <c:axId val="12723704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0679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[Water_Quality_Index.xlsx]WQI Pivot 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r>
              <a:rPr lang="en-US" sz="1400" b="0">
                <a:latin typeface="Times New Roman" panose="02020603050405020304" pitchFamily="18" charset="0"/>
                <a:cs typeface="Times New Roman" panose="02020603050405020304" pitchFamily="18" charset="0"/>
              </a:rPr>
              <a:t>Overall Water Quality Classification Percentage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960529182392069"/>
          <c:y val="0.16891679995542358"/>
          <c:w val="0.4668376077296148"/>
          <c:h val="0.76690778894490308"/>
        </c:manualLayout>
      </c:layout>
      <c:doughnutChart>
        <c:varyColors val="1"/>
        <c:ser>
          <c:idx val="0"/>
          <c:order val="0"/>
          <c:tx>
            <c:strRef>
              <c:f>'WQI Pivot Table'!$E$12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C23-4685-AA02-B4159F5F5DE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C23-4685-AA02-B4159F5F5DE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C23-4685-AA02-B4159F5F5D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'WQI Pivot Table'!$D$13:$D$16</c:f>
              <c:strCache>
                <c:ptCount val="3"/>
                <c:pt idx="0">
                  <c:v>Unsuitable</c:v>
                </c:pt>
                <c:pt idx="1">
                  <c:v>Very Poor</c:v>
                </c:pt>
                <c:pt idx="2">
                  <c:v>Very Poor*</c:v>
                </c:pt>
              </c:strCache>
            </c:strRef>
          </c:cat>
          <c:val>
            <c:numRef>
              <c:f>'WQI Pivot Table'!$E$13:$E$16</c:f>
              <c:numCache>
                <c:formatCode>General</c:formatCode>
                <c:ptCount val="3"/>
                <c:pt idx="0">
                  <c:v>2</c:v>
                </c:pt>
                <c:pt idx="1">
                  <c:v>14</c:v>
                </c:pt>
                <c:pt idx="2">
                  <c:v>1</c:v>
                </c:pt>
              </c:numCache>
            </c:numRef>
          </c:val>
          <c:extLst>
            <c:ext xmlns:c16="http://schemas.microsoft.com/office/drawing/2014/chart" uri="{C3380CC4-5D6E-409C-BE32-E72D297353CC}">
              <c16:uniqueId val="{00000006-8C23-4685-AA02-B4159F5F5DE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9712080324618719"/>
          <c:y val="0.42107446915776675"/>
          <c:w val="0.24511253422575105"/>
          <c:h val="0.22964789622836276"/>
        </c:manualLayout>
      </c:layout>
      <c:overlay val="0"/>
      <c:spPr>
        <a:solidFill>
          <a:schemeClr val="lt1">
            <a:alpha val="78000"/>
          </a:schemeClr>
        </a:solid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442783</xdr:colOff>
      <xdr:row>9</xdr:row>
      <xdr:rowOff>59440</xdr:rowOff>
    </xdr:from>
    <xdr:to>
      <xdr:col>38</xdr:col>
      <xdr:colOff>313763</xdr:colOff>
      <xdr:row>28</xdr:row>
      <xdr:rowOff>156073</xdr:rowOff>
    </xdr:to>
    <xdr:grpSp>
      <xdr:nvGrpSpPr>
        <xdr:cNvPr id="10" name="Group 9">
          <a:extLst>
            <a:ext uri="{FF2B5EF4-FFF2-40B4-BE49-F238E27FC236}">
              <a16:creationId xmlns:a16="http://schemas.microsoft.com/office/drawing/2014/main" id="{F4217178-1DB6-EBDF-704B-6392C109C98E}"/>
            </a:ext>
          </a:extLst>
        </xdr:cNvPr>
        <xdr:cNvGrpSpPr/>
      </xdr:nvGrpSpPr>
      <xdr:grpSpPr>
        <a:xfrm>
          <a:off x="4695567" y="1727602"/>
          <a:ext cx="18704737" cy="3618309"/>
          <a:chOff x="4644877" y="1045558"/>
          <a:chExt cx="18629740" cy="3503221"/>
        </a:xfrm>
      </xdr:grpSpPr>
      <xdr:grpSp>
        <xdr:nvGrpSpPr>
          <xdr:cNvPr id="7" name="Group 6">
            <a:extLst>
              <a:ext uri="{FF2B5EF4-FFF2-40B4-BE49-F238E27FC236}">
                <a16:creationId xmlns:a16="http://schemas.microsoft.com/office/drawing/2014/main" id="{873B1031-88E4-449A-1367-DA6CDC1B3DDD}"/>
              </a:ext>
            </a:extLst>
          </xdr:cNvPr>
          <xdr:cNvGrpSpPr/>
        </xdr:nvGrpSpPr>
        <xdr:grpSpPr>
          <a:xfrm>
            <a:off x="4661648" y="1775631"/>
            <a:ext cx="18608547" cy="2773148"/>
            <a:chOff x="4865883" y="1357327"/>
            <a:chExt cx="18849624" cy="2817272"/>
          </a:xfrm>
        </xdr:grpSpPr>
        <xdr:graphicFrame macro="">
          <xdr:nvGraphicFramePr>
            <xdr:cNvPr id="2" name="Chart 1">
              <a:extLst>
                <a:ext uri="{FF2B5EF4-FFF2-40B4-BE49-F238E27FC236}">
                  <a16:creationId xmlns:a16="http://schemas.microsoft.com/office/drawing/2014/main" id="{69D6A71A-7BC7-4F49-B686-99891BB98A9C}"/>
                </a:ext>
              </a:extLst>
            </xdr:cNvPr>
            <xdr:cNvGraphicFramePr>
              <a:graphicFrameLocks/>
            </xdr:cNvGraphicFramePr>
          </xdr:nvGraphicFramePr>
          <xdr:xfrm>
            <a:off x="8514522" y="1374913"/>
            <a:ext cx="5990777" cy="274078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B2C0B0E9-D10A-4A71-83FD-45F0596492E9}"/>
                </a:ext>
              </a:extLst>
            </xdr:cNvPr>
            <xdr:cNvGraphicFramePr>
              <a:graphicFrameLocks/>
            </xdr:cNvGraphicFramePr>
          </xdr:nvGraphicFramePr>
          <xdr:xfrm>
            <a:off x="14511131" y="1374913"/>
            <a:ext cx="4585773" cy="276841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7F36F296-1FEF-4058-BA8C-A588450AD131}"/>
                </a:ext>
              </a:extLst>
            </xdr:cNvPr>
            <xdr:cNvGraphicFramePr>
              <a:graphicFrameLocks/>
            </xdr:cNvGraphicFramePr>
          </xdr:nvGraphicFramePr>
          <xdr:xfrm>
            <a:off x="19116261" y="1374913"/>
            <a:ext cx="4599246" cy="2799686"/>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5" name="Class">
                  <a:extLst>
                    <a:ext uri="{FF2B5EF4-FFF2-40B4-BE49-F238E27FC236}">
                      <a16:creationId xmlns:a16="http://schemas.microsoft.com/office/drawing/2014/main" id="{3BF7B47F-45D4-4C93-A614-435A8A04CFDC}"/>
                    </a:ext>
                  </a:extLst>
                </xdr:cNvPr>
                <xdr:cNvGraphicFramePr/>
              </xdr:nvGraphicFramePr>
              <xdr:xfrm>
                <a:off x="4865883" y="1357327"/>
                <a:ext cx="1828800" cy="2749789"/>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4712406" y="2481659"/>
                  <a:ext cx="1812679" cy="2795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Type">
                  <a:extLst>
                    <a:ext uri="{FF2B5EF4-FFF2-40B4-BE49-F238E27FC236}">
                      <a16:creationId xmlns:a16="http://schemas.microsoft.com/office/drawing/2014/main" id="{954B81DC-223B-4443-B609-493FA1ABB98F}"/>
                    </a:ext>
                  </a:extLst>
                </xdr:cNvPr>
                <xdr:cNvGraphicFramePr/>
              </xdr:nvGraphicFramePr>
              <xdr:xfrm>
                <a:off x="6681920" y="1373890"/>
                <a:ext cx="1828800" cy="274461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6512434" y="2498498"/>
                  <a:ext cx="1812679" cy="2790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9" name="Group 8">
            <a:extLst>
              <a:ext uri="{FF2B5EF4-FFF2-40B4-BE49-F238E27FC236}">
                <a16:creationId xmlns:a16="http://schemas.microsoft.com/office/drawing/2014/main" id="{AE2AC9EF-BE6B-161B-52AE-A16841915016}"/>
              </a:ext>
            </a:extLst>
          </xdr:cNvPr>
          <xdr:cNvGrpSpPr/>
        </xdr:nvGrpSpPr>
        <xdr:grpSpPr>
          <a:xfrm>
            <a:off x="4644877" y="1045558"/>
            <a:ext cx="18629740" cy="733741"/>
            <a:chOff x="4600767" y="927652"/>
            <a:chExt cx="19104058" cy="745435"/>
          </a:xfrm>
        </xdr:grpSpPr>
        <xdr:sp macro="" textlink="">
          <xdr:nvSpPr>
            <xdr:cNvPr id="8" name="Rectangle 7">
              <a:extLst>
                <a:ext uri="{FF2B5EF4-FFF2-40B4-BE49-F238E27FC236}">
                  <a16:creationId xmlns:a16="http://schemas.microsoft.com/office/drawing/2014/main" id="{73F7A033-76E0-39C5-F6F8-52E62317E6D9}"/>
                </a:ext>
              </a:extLst>
            </xdr:cNvPr>
            <xdr:cNvSpPr/>
          </xdr:nvSpPr>
          <xdr:spPr>
            <a:xfrm>
              <a:off x="4600767" y="927652"/>
              <a:ext cx="19104058" cy="745435"/>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97" name="Text Box 1">
              <a:extLst>
                <a:ext uri="{FF2B5EF4-FFF2-40B4-BE49-F238E27FC236}">
                  <a16:creationId xmlns:a16="http://schemas.microsoft.com/office/drawing/2014/main" id="{0D08A080-CFA3-0A5F-E74B-F661904DB068}"/>
                </a:ext>
              </a:extLst>
            </xdr:cNvPr>
            <xdr:cNvSpPr txBox="1">
              <a:spLocks noChangeArrowheads="1"/>
            </xdr:cNvSpPr>
          </xdr:nvSpPr>
          <xdr:spPr bwMode="auto">
            <a:xfrm>
              <a:off x="10104782" y="977347"/>
              <a:ext cx="9409043" cy="546652"/>
            </a:xfrm>
            <a:prstGeom prst="rect">
              <a:avLst/>
            </a:prstGeom>
            <a:noFill/>
            <a:ln w="9525">
              <a:noFill/>
              <a:miter lim="800000"/>
              <a:headEnd/>
              <a:tailEnd/>
            </a:ln>
          </xdr:spPr>
          <xdr:txBody>
            <a:bodyPr vertOverflow="clip" wrap="square" lIns="18288" tIns="18288" rIns="0" bIns="0" anchor="t" upright="1"/>
            <a:lstStyle/>
            <a:p>
              <a:pPr algn="l" rtl="0">
                <a:defRPr sz="1000"/>
              </a:pPr>
              <a:r>
                <a:rPr lang="en-US" sz="3200" b="0" i="0" u="none" strike="noStrike" baseline="0">
                  <a:solidFill>
                    <a:srgbClr val="000000"/>
                  </a:solidFill>
                  <a:latin typeface="Arial Black" panose="020B0A04020102020204" pitchFamily="34" charset="0"/>
                  <a:ea typeface="Calibri"/>
                  <a:cs typeface="Calibri"/>
                </a:rPr>
                <a:t>Water Quality Index (WQI) Analysis Dashboard</a:t>
              </a: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0.601804745369" createdVersion="8" refreshedVersion="8" minRefreshableVersion="3" recordCount="17" xr:uid="{D8629A15-FAD5-43C9-B4F0-78428702B3BC}">
  <cacheSource type="worksheet">
    <worksheetSource name="Table2"/>
  </cacheSource>
  <cacheFields count="10">
    <cacheField name="No." numFmtId="1">
      <sharedItems containsSemiMixedTypes="0" containsString="0" containsNumber="1" containsInteger="1" minValue="1" maxValue="17"/>
    </cacheField>
    <cacheField name="Location" numFmtId="2">
      <sharedItems count="12">
        <s v="Kolatoli Beach"/>
        <s v="Kolatoli"/>
        <s v="Sugandha Beach"/>
        <s v="Sugandha"/>
        <s v="Sugandha Jhaubon"/>
        <s v="Laboni Beach Road"/>
        <s v="Laboni Beach"/>
        <s v="Khunia-Palong, Himchhari"/>
        <s v="Himchhari Marine Drive"/>
        <s v="Inani Beach"/>
        <s v="Chowang-khali Sampan Beach"/>
        <s v="Shah-Porir Dweep — Salt Harvesting Field"/>
      </sharedItems>
    </cacheField>
    <cacheField name="Type" numFmtId="2">
      <sharedItems count="3">
        <s v="Marine"/>
        <s v="Fresh"/>
        <s v="Marine/Brine"/>
      </sharedItems>
    </cacheField>
    <cacheField name="pH" numFmtId="2">
      <sharedItems containsSemiMixedTypes="0" containsString="0" containsNumber="1" minValue="6.39" maxValue="7.4"/>
    </cacheField>
    <cacheField name="DO (mg/L)" numFmtId="2">
      <sharedItems containsSemiMixedTypes="0" containsString="0" containsNumber="1" minValue="1.3" maxValue="4.0999999999999996"/>
    </cacheField>
    <cacheField name="EC (µS/cm)" numFmtId="2">
      <sharedItems containsSemiMixedTypes="0" containsString="0" containsNumber="1" containsInteger="1" minValue="377" maxValue="78600"/>
    </cacheField>
    <cacheField name="TDS (ppm)" numFmtId="2">
      <sharedItems containsSemiMixedTypes="0" containsString="0" containsNumber="1" containsInteger="1" minValue="166" maxValue="39300"/>
    </cacheField>
    <cacheField name="Salinity (PSU)" numFmtId="2">
      <sharedItems containsSemiMixedTypes="0" containsString="0" containsNumber="1" minValue="0.16" maxValue="51.8"/>
    </cacheField>
    <cacheField name="WQI" numFmtId="2">
      <sharedItems containsSemiMixedTypes="0" containsString="0" containsNumber="1" minValue="76.55" maxValue="104.67"/>
    </cacheField>
    <cacheField name="Class" numFmtId="2">
      <sharedItems count="3">
        <s v="Very Poor"/>
        <s v="Unsuitable"/>
        <s v="Very Poor*"/>
      </sharedItems>
    </cacheField>
  </cacheFields>
  <extLst>
    <ext xmlns:x14="http://schemas.microsoft.com/office/spreadsheetml/2009/9/main" uri="{725AE2AE-9491-48be-B2B4-4EB974FC3084}">
      <x14:pivotCacheDefinition pivotCacheId="1755380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1"/>
    <x v="0"/>
    <x v="0"/>
    <n v="7.32"/>
    <n v="2.6"/>
    <n v="52580"/>
    <n v="26290"/>
    <n v="34.35"/>
    <n v="90.62"/>
    <x v="0"/>
  </r>
  <r>
    <n v="2"/>
    <x v="1"/>
    <x v="1"/>
    <n v="6.78"/>
    <n v="1.5"/>
    <n v="492"/>
    <n v="244"/>
    <n v="0.24"/>
    <n v="94.95"/>
    <x v="0"/>
  </r>
  <r>
    <n v="3"/>
    <x v="0"/>
    <x v="0"/>
    <n v="7.4"/>
    <n v="3.6"/>
    <n v="52620"/>
    <n v="26330"/>
    <n v="34.43"/>
    <n v="86.01"/>
    <x v="0"/>
  </r>
  <r>
    <n v="4"/>
    <x v="1"/>
    <x v="1"/>
    <n v="6.86"/>
    <n v="1.4"/>
    <n v="377"/>
    <n v="166"/>
    <n v="0.16"/>
    <n v="93.37"/>
    <x v="0"/>
  </r>
  <r>
    <n v="5"/>
    <x v="0"/>
    <x v="1"/>
    <n v="7.1"/>
    <n v="1.6"/>
    <n v="655"/>
    <n v="327"/>
    <n v="0.31"/>
    <n v="91.08"/>
    <x v="0"/>
  </r>
  <r>
    <n v="6"/>
    <x v="2"/>
    <x v="0"/>
    <n v="7.26"/>
    <n v="3.4"/>
    <n v="52680"/>
    <n v="26340"/>
    <n v="34.409999999999997"/>
    <n v="83.52"/>
    <x v="0"/>
  </r>
  <r>
    <n v="7"/>
    <x v="3"/>
    <x v="1"/>
    <n v="7.08"/>
    <n v="1.6"/>
    <n v="407"/>
    <n v="203"/>
    <n v="0.19"/>
    <n v="90.4"/>
    <x v="0"/>
  </r>
  <r>
    <n v="8"/>
    <x v="4"/>
    <x v="0"/>
    <n v="7.3"/>
    <n v="3.6"/>
    <n v="52700"/>
    <n v="26360"/>
    <n v="34.47"/>
    <n v="83.26"/>
    <x v="0"/>
  </r>
  <r>
    <n v="9"/>
    <x v="5"/>
    <x v="1"/>
    <n v="6.39"/>
    <n v="1.7"/>
    <n v="1237"/>
    <n v="590"/>
    <n v="0.57999999999999996"/>
    <n v="104.67"/>
    <x v="1"/>
  </r>
  <r>
    <n v="10"/>
    <x v="6"/>
    <x v="0"/>
    <n v="7.07"/>
    <n v="3.4"/>
    <n v="52530"/>
    <n v="26310"/>
    <n v="32.89"/>
    <n v="78.28"/>
    <x v="0"/>
  </r>
  <r>
    <n v="11"/>
    <x v="7"/>
    <x v="1"/>
    <n v="6.71"/>
    <n v="1.3"/>
    <n v="512"/>
    <n v="255"/>
    <n v="0.25"/>
    <n v="98.24"/>
    <x v="0"/>
  </r>
  <r>
    <n v="12"/>
    <x v="8"/>
    <x v="0"/>
    <n v="7.18"/>
    <n v="3.9"/>
    <n v="52810"/>
    <n v="26400"/>
    <n v="34.49"/>
    <n v="77.900000000000006"/>
    <x v="0"/>
  </r>
  <r>
    <n v="13"/>
    <x v="9"/>
    <x v="1"/>
    <n v="6.84"/>
    <n v="1.9"/>
    <n v="684"/>
    <n v="342"/>
    <n v="0.34"/>
    <n v="90.7"/>
    <x v="0"/>
  </r>
  <r>
    <n v="14"/>
    <x v="9"/>
    <x v="0"/>
    <n v="7.07"/>
    <n v="2.7"/>
    <n v="52930"/>
    <n v="26460"/>
    <n v="34.54"/>
    <n v="83.05"/>
    <x v="0"/>
  </r>
  <r>
    <n v="15"/>
    <x v="10"/>
    <x v="0"/>
    <n v="6.92"/>
    <n v="2.9"/>
    <n v="52940"/>
    <n v="26480"/>
    <n v="34.61"/>
    <n v="81.96"/>
    <x v="0"/>
  </r>
  <r>
    <n v="16"/>
    <x v="10"/>
    <x v="1"/>
    <n v="6.56"/>
    <n v="1.3"/>
    <n v="2376"/>
    <n v="1175"/>
    <n v="1.19"/>
    <n v="103.32"/>
    <x v="1"/>
  </r>
  <r>
    <n v="17"/>
    <x v="11"/>
    <x v="2"/>
    <n v="7.18"/>
    <n v="4.0999999999999996"/>
    <n v="78600"/>
    <n v="39300"/>
    <n v="51.8"/>
    <n v="76.5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AA3C5A-AA03-4331-9060-629E6EF4E8D8}"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12:E16" firstHeaderRow="1" firstDataRow="1" firstDataCol="1"/>
  <pivotFields count="10">
    <pivotField compact="0" numFmtId="1" outline="0" showAll="0"/>
    <pivotField compact="0" outline="0" showAll="0"/>
    <pivotField compact="0" outline="0" showAll="0">
      <items count="4">
        <item x="1"/>
        <item x="0"/>
        <item x="2"/>
        <item t="default"/>
      </items>
    </pivotField>
    <pivotField compact="0" numFmtId="2" outline="0" showAll="0"/>
    <pivotField compact="0" numFmtId="2" outline="0" showAll="0"/>
    <pivotField compact="0" numFmtId="2" outline="0" showAll="0"/>
    <pivotField compact="0" numFmtId="2" outline="0" showAll="0"/>
    <pivotField compact="0" numFmtId="2" outline="0" showAll="0"/>
    <pivotField compact="0" numFmtId="2" outline="0" showAll="0"/>
    <pivotField axis="axisRow" dataField="1" compact="0" outline="0" showAll="0">
      <items count="4">
        <item x="1"/>
        <item x="0"/>
        <item x="2"/>
        <item t="default"/>
      </items>
    </pivotField>
  </pivotFields>
  <rowFields count="1">
    <field x="9"/>
  </rowFields>
  <rowItems count="4">
    <i>
      <x/>
    </i>
    <i>
      <x v="1"/>
    </i>
    <i>
      <x v="2"/>
    </i>
    <i t="grand">
      <x/>
    </i>
  </rowItems>
  <colItems count="1">
    <i/>
  </colItems>
  <dataFields count="1">
    <dataField name="Count of Class" fld="9" subtotal="count" baseField="0" baseItem="0"/>
  </dataFields>
  <formats count="4">
    <format dxfId="154">
      <pivotArea type="all" dataOnly="0" outline="0" fieldPosition="0"/>
    </format>
    <format dxfId="155">
      <pivotArea outline="0" collapsedLevelsAreSubtotals="1" fieldPosition="0"/>
    </format>
    <format dxfId="156">
      <pivotArea field="2" type="button" dataOnly="0" labelOnly="1" outline="0"/>
    </format>
    <format dxfId="157">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EF8E2B-3304-4BA1-80CE-12ED90863C80}"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I3:M17" firstHeaderRow="1" firstDataRow="2" firstDataCol="1"/>
  <pivotFields count="10">
    <pivotField compact="0" numFmtId="1" outline="0" showAll="0"/>
    <pivotField axis="axisRow" compact="0" outline="0" showAll="0">
      <items count="13">
        <item x="10"/>
        <item x="8"/>
        <item x="9"/>
        <item x="7"/>
        <item x="1"/>
        <item x="0"/>
        <item x="6"/>
        <item x="5"/>
        <item x="11"/>
        <item x="3"/>
        <item x="2"/>
        <item x="4"/>
        <item t="default"/>
      </items>
    </pivotField>
    <pivotField axis="axisCol" compact="0" outline="0" showAll="0">
      <items count="4">
        <item x="1"/>
        <item x="0"/>
        <item x="2"/>
        <item t="default"/>
      </items>
    </pivotField>
    <pivotField compact="0" numFmtId="2" outline="0" showAll="0"/>
    <pivotField compact="0" numFmtId="2" outline="0" showAll="0"/>
    <pivotField compact="0" numFmtId="2" outline="0" showAll="0"/>
    <pivotField compact="0" numFmtId="2" outline="0" showAll="0"/>
    <pivotField compact="0" numFmtId="2" outline="0" showAll="0"/>
    <pivotField dataField="1" compact="0" numFmtId="2" outline="0" showAll="0"/>
    <pivotField compact="0" outline="0" showAll="0">
      <items count="4">
        <item x="1"/>
        <item x="0"/>
        <item x="2"/>
        <item t="default"/>
      </items>
    </pivotField>
  </pivotFields>
  <rowFields count="1">
    <field x="1"/>
  </rowFields>
  <rowItems count="13">
    <i>
      <x/>
    </i>
    <i>
      <x v="1"/>
    </i>
    <i>
      <x v="2"/>
    </i>
    <i>
      <x v="3"/>
    </i>
    <i>
      <x v="4"/>
    </i>
    <i>
      <x v="5"/>
    </i>
    <i>
      <x v="6"/>
    </i>
    <i>
      <x v="7"/>
    </i>
    <i>
      <x v="8"/>
    </i>
    <i>
      <x v="9"/>
    </i>
    <i>
      <x v="10"/>
    </i>
    <i>
      <x v="11"/>
    </i>
    <i t="grand">
      <x/>
    </i>
  </rowItems>
  <colFields count="1">
    <field x="2"/>
  </colFields>
  <colItems count="4">
    <i>
      <x/>
    </i>
    <i>
      <x v="1"/>
    </i>
    <i>
      <x v="2"/>
    </i>
    <i t="grand">
      <x/>
    </i>
  </colItems>
  <dataFields count="1">
    <dataField name="Average of WQI" fld="8" subtotal="average" baseField="1" baseItem="0" numFmtId="2"/>
  </dataFields>
  <formats count="4">
    <format dxfId="158">
      <pivotArea type="all" dataOnly="0" outline="0" fieldPosition="0"/>
    </format>
    <format dxfId="159">
      <pivotArea outline="0" collapsedLevelsAreSubtotals="1" fieldPosition="0"/>
    </format>
    <format dxfId="160">
      <pivotArea field="2" type="button" dataOnly="0" labelOnly="1" outline="0" axis="axisCol" fieldPosition="0"/>
    </format>
    <format dxfId="161">
      <pivotArea dataOnly="0" labelOnly="1" grandRow="1" outline="0" fieldPosition="0"/>
    </format>
  </format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 chart="4"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D6578-FDC2-498F-96F1-05B43A527FEC}"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C3:G7" firstHeaderRow="0" firstDataRow="1" firstDataCol="1"/>
  <pivotFields count="10">
    <pivotField compact="0" numFmtId="1" outline="0" showAll="0"/>
    <pivotField compact="0" outline="0" showAll="0"/>
    <pivotField axis="axisRow" compact="0" outline="0" showAll="0">
      <items count="4">
        <item x="1"/>
        <item x="0"/>
        <item x="2"/>
        <item t="default"/>
      </items>
    </pivotField>
    <pivotField dataField="1" compact="0" numFmtId="2" outline="0" showAll="0"/>
    <pivotField dataField="1" compact="0" numFmtId="2" outline="0" showAll="0"/>
    <pivotField compact="0" numFmtId="2" outline="0" showAll="0"/>
    <pivotField dataField="1" compact="0" numFmtId="2" outline="0" showAll="0"/>
    <pivotField compact="0" numFmtId="2" outline="0" showAll="0"/>
    <pivotField dataField="1" compact="0" numFmtId="2" outline="0" showAll="0"/>
    <pivotField compact="0" outline="0" showAll="0">
      <items count="4">
        <item x="1"/>
        <item x="0"/>
        <item x="2"/>
        <item t="default"/>
      </items>
    </pivotField>
  </pivotFields>
  <rowFields count="1">
    <field x="2"/>
  </rowFields>
  <rowItems count="4">
    <i>
      <x/>
    </i>
    <i>
      <x v="1"/>
    </i>
    <i>
      <x v="2"/>
    </i>
    <i t="grand">
      <x/>
    </i>
  </rowItems>
  <colFields count="1">
    <field x="-2"/>
  </colFields>
  <colItems count="4">
    <i>
      <x/>
    </i>
    <i i="1">
      <x v="1"/>
    </i>
    <i i="2">
      <x v="2"/>
    </i>
    <i i="3">
      <x v="3"/>
    </i>
  </colItems>
  <dataFields count="4">
    <dataField name="Average of pH" fld="3" subtotal="average" baseField="2" baseItem="0" numFmtId="2"/>
    <dataField name="Average of DO (mg/L)" fld="4" subtotal="average" baseField="2" baseItem="0" numFmtId="2"/>
    <dataField name="Average of TDS (ppm)" fld="6" subtotal="average" baseField="2" baseItem="0" numFmtId="2"/>
    <dataField name="Average of WQI" fld="8" subtotal="average" baseField="2" baseItem="0" numFmtId="2"/>
  </dataFields>
  <formats count="6">
    <format dxfId="167">
      <pivotArea type="all" dataOnly="0" outline="0" fieldPosition="0"/>
    </format>
    <format dxfId="166">
      <pivotArea outline="0" collapsedLevelsAreSubtotals="1" fieldPosition="0"/>
    </format>
    <format dxfId="165">
      <pivotArea field="2" type="button" dataOnly="0" labelOnly="1" outline="0" axis="axisRow" fieldPosition="0"/>
    </format>
    <format dxfId="164">
      <pivotArea dataOnly="0" labelOnly="1" outline="0" fieldPosition="0">
        <references count="1">
          <reference field="2" count="0"/>
        </references>
      </pivotArea>
    </format>
    <format dxfId="163">
      <pivotArea dataOnly="0" labelOnly="1" grandRow="1" outline="0" fieldPosition="0"/>
    </format>
    <format dxfId="162">
      <pivotArea dataOnly="0" labelOnly="1" outline="0" fieldPosition="0">
        <references count="1">
          <reference field="4294967294" count="4">
            <x v="0"/>
            <x v="1"/>
            <x v="2"/>
            <x v="3"/>
          </reference>
        </references>
      </pivotArea>
    </format>
  </formats>
  <chartFormats count="4">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8BFF2059-8C65-4789-B5CB-B3DDF96FFAD2}" sourceName="Class">
  <pivotTables>
    <pivotTable tabId="4" name="PivotTable1"/>
    <pivotTable tabId="4" name="PivotTable2"/>
  </pivotTables>
  <data>
    <tabular pivotCacheId="175538035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99087B07-9A0A-4222-84C4-E57E695AE55A}" sourceName="Type">
  <pivotTables>
    <pivotTable tabId="4" name="PivotTable1"/>
    <pivotTable tabId="4" name="PivotTable2"/>
  </pivotTables>
  <data>
    <tabular pivotCacheId="175538035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07298D66-07EE-4A53-B1AA-76CFF8CAD459}" cache="Slicer_Class" caption="Class" style="SlicerStyleLight3" rowHeight="234950"/>
  <slicer name="Type" xr10:uid="{132D7F47-9E9D-449E-8650-4A5D4B55CA93}" cache="Slicer_Type" caption="Type"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CD3775-1134-466D-8EC2-0DA245751166}" name="Table1" displayName="Table1" ref="A1:N18" totalsRowShown="0" headerRowDxfId="186" dataDxfId="184" headerRowBorderDxfId="185" tableBorderDxfId="183" totalsRowBorderDxfId="182">
  <autoFilter ref="A1:N18" xr:uid="{6DCD3775-1134-466D-8EC2-0DA245751166}"/>
  <tableColumns count="14">
    <tableColumn id="1" xr3:uid="{FC369453-36B1-4A49-AB77-7076975EC34B}" name="No." dataDxfId="181"/>
    <tableColumn id="2" xr3:uid="{F61CE809-53F9-4D4B-8016-26C0074BEA33}" name="Latitude" dataDxfId="180"/>
    <tableColumn id="3" xr3:uid="{09B98867-9E7E-4938-9596-81502B073317}" name="Longitude" dataDxfId="179"/>
    <tableColumn id="4" xr3:uid="{4B0DA662-4962-4D59-AA90-CD9835945B9C}" name="Local Name" dataDxfId="178"/>
    <tableColumn id="5" xr3:uid="{0D406B27-4522-4DD2-A520-5E0424CDC89E}" name="Water Type" dataDxfId="177"/>
    <tableColumn id="6" xr3:uid="{D9666112-EB85-4CC5-8B64-CF022F53FEFE}" name="Weather" dataDxfId="176"/>
    <tableColumn id="7" xr3:uid="{4F5378BB-F40B-442D-9A82-CA635181CB6C}" name="pH" dataDxfId="175"/>
    <tableColumn id="8" xr3:uid="{FAA148D2-01A3-4A23-94E0-8D1AF9E3FFFC}" name="DO (mg/L)" dataDxfId="174"/>
    <tableColumn id="9" xr3:uid="{07F8FE53-4019-4AD0-8623-343EA7AECFD7}" name="Temperature (°C)" dataDxfId="173"/>
    <tableColumn id="10" xr3:uid="{563CECEA-0D99-43D3-A905-7891BD1DE8D3}" name="EC" dataDxfId="172"/>
    <tableColumn id="11" xr3:uid="{F1DE6933-046A-43C1-BA93-F51669D266B8}" name="TDS" dataDxfId="171"/>
    <tableColumn id="12" xr3:uid="{B34DDDFC-04FC-4EA6-BDD6-6B62BC50D079}" name="ORP (mV)" dataDxfId="170"/>
    <tableColumn id="13" xr3:uid="{F6A3895B-68DF-4A47-B7AC-793F56E6FC84}" name="Pressure (atm)" dataDxfId="169"/>
    <tableColumn id="14" xr3:uid="{4B6FDDAC-94C1-4077-8C7D-BA99135BC8B9}" name="Salinity (PSU)" dataDxfId="168"/>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4B5FA2-2BD7-45FF-86E4-40E29E99EE1E}" name="Table2" displayName="Table2" ref="A1:J18" totalsRowShown="0" headerRowDxfId="201" dataDxfId="199" headerRowBorderDxfId="200" tableBorderDxfId="198" totalsRowBorderDxfId="197">
  <autoFilter ref="A1:J18" xr:uid="{C04B5FA2-2BD7-45FF-86E4-40E29E99EE1E}"/>
  <tableColumns count="10">
    <tableColumn id="1" xr3:uid="{90774CD0-817C-49C7-AA98-32B85ADAA9E6}" name="No." dataDxfId="196"/>
    <tableColumn id="2" xr3:uid="{8067DEB9-BFCF-4FB9-BA45-93B141BA767E}" name="Location" dataDxfId="195"/>
    <tableColumn id="3" xr3:uid="{E52935AB-3D60-4EF9-9E63-D77DBA8F04CC}" name="Type" dataDxfId="194"/>
    <tableColumn id="4" xr3:uid="{827313D0-E917-464A-9ED9-564BEFAC66CC}" name="pH" dataDxfId="193"/>
    <tableColumn id="5" xr3:uid="{2B2AE95D-0691-4CC8-9A14-B1043BA05272}" name="DO (mg/L)" dataDxfId="192"/>
    <tableColumn id="6" xr3:uid="{CD015E87-33E3-41FB-ACC5-B908D1DE0E05}" name="EC (µS/cm)" dataDxfId="191"/>
    <tableColumn id="7" xr3:uid="{985E8FAA-6D86-45ED-9972-9668CACA3F40}" name="TDS (ppm)" dataDxfId="190"/>
    <tableColumn id="8" xr3:uid="{488F6E33-34CD-4E84-B77F-78F971B65C25}" name="Salinity (PSU)" dataDxfId="189"/>
    <tableColumn id="17" xr3:uid="{4DA75ECF-E3BD-4740-B94B-23B289E27C6A}" name="WQI" dataDxfId="188"/>
    <tableColumn id="18" xr3:uid="{162BA707-0E64-430E-93B0-8928AFFB1029}" name="Class" dataDxfId="187"/>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tabSelected="1" topLeftCell="C1" workbookViewId="0">
      <selection activeCell="H19" sqref="H19"/>
    </sheetView>
  </sheetViews>
  <sheetFormatPr defaultColWidth="8.77734375" defaultRowHeight="15.6"/>
  <cols>
    <col min="1" max="1" width="6.109375" style="2" customWidth="1"/>
    <col min="2" max="2" width="10.88671875" style="2" customWidth="1"/>
    <col min="3" max="3" width="12.33203125" style="2" customWidth="1"/>
    <col min="4" max="4" width="36.21875" style="6" customWidth="1"/>
    <col min="5" max="5" width="14.21875" style="2" customWidth="1"/>
    <col min="6" max="6" width="11.109375" style="2" customWidth="1"/>
    <col min="7" max="7" width="5.6640625" style="2" customWidth="1"/>
    <col min="8" max="8" width="13.21875" style="2" customWidth="1"/>
    <col min="9" max="9" width="19.77734375" style="2" customWidth="1"/>
    <col min="10" max="10" width="13.44140625" style="2" bestFit="1" customWidth="1"/>
    <col min="11" max="11" width="11.44140625" style="2" bestFit="1" customWidth="1"/>
    <col min="12" max="12" width="12.88671875" style="2" customWidth="1"/>
    <col min="13" max="13" width="16.77734375" style="2" customWidth="1"/>
    <col min="14" max="14" width="16.109375" style="2" customWidth="1"/>
    <col min="15" max="16384" width="8.77734375" style="2"/>
  </cols>
  <sheetData>
    <row r="1" spans="1:14">
      <c r="A1" s="9" t="s">
        <v>0</v>
      </c>
      <c r="B1" s="10" t="s">
        <v>74</v>
      </c>
      <c r="C1" s="10" t="s">
        <v>73</v>
      </c>
      <c r="D1" s="10" t="s">
        <v>1</v>
      </c>
      <c r="E1" s="10" t="s">
        <v>2</v>
      </c>
      <c r="F1" s="10" t="s">
        <v>3</v>
      </c>
      <c r="G1" s="10" t="s">
        <v>4</v>
      </c>
      <c r="H1" s="10" t="s">
        <v>5</v>
      </c>
      <c r="I1" s="10" t="s">
        <v>6</v>
      </c>
      <c r="J1" s="10" t="s">
        <v>7</v>
      </c>
      <c r="K1" s="10" t="s">
        <v>8</v>
      </c>
      <c r="L1" s="10" t="s">
        <v>9</v>
      </c>
      <c r="M1" s="10" t="s">
        <v>10</v>
      </c>
      <c r="N1" s="11" t="s">
        <v>11</v>
      </c>
    </row>
    <row r="2" spans="1:14">
      <c r="A2" s="7">
        <v>1</v>
      </c>
      <c r="B2" s="4">
        <v>21.414916000000002</v>
      </c>
      <c r="C2" s="4">
        <v>91.982405999999997</v>
      </c>
      <c r="D2" s="5" t="s">
        <v>12</v>
      </c>
      <c r="E2" s="4" t="s">
        <v>13</v>
      </c>
      <c r="F2" s="4" t="s">
        <v>14</v>
      </c>
      <c r="G2" s="4">
        <v>7.32</v>
      </c>
      <c r="H2" s="4">
        <v>2.6</v>
      </c>
      <c r="I2" s="4">
        <v>32.18</v>
      </c>
      <c r="J2" s="4" t="s">
        <v>15</v>
      </c>
      <c r="K2" s="4" t="s">
        <v>16</v>
      </c>
      <c r="L2" s="4">
        <v>-132.4</v>
      </c>
      <c r="M2" s="4">
        <v>1.1184000000000001</v>
      </c>
      <c r="N2" s="8">
        <v>34.35</v>
      </c>
    </row>
    <row r="3" spans="1:14">
      <c r="A3" s="7">
        <v>2</v>
      </c>
      <c r="B3" s="4">
        <v>21.416048</v>
      </c>
      <c r="C3" s="4">
        <v>91.983379999999997</v>
      </c>
      <c r="D3" s="5" t="s">
        <v>17</v>
      </c>
      <c r="E3" s="4" t="s">
        <v>18</v>
      </c>
      <c r="F3" s="4" t="s">
        <v>14</v>
      </c>
      <c r="G3" s="4">
        <v>6.78</v>
      </c>
      <c r="H3" s="4">
        <v>1.5</v>
      </c>
      <c r="I3" s="4">
        <v>31.84</v>
      </c>
      <c r="J3" s="4" t="s">
        <v>19</v>
      </c>
      <c r="K3" s="4" t="s">
        <v>20</v>
      </c>
      <c r="L3" s="4">
        <v>-154.19999999999999</v>
      </c>
      <c r="M3" s="4">
        <v>1.1184000000000001</v>
      </c>
      <c r="N3" s="8">
        <v>0.24</v>
      </c>
    </row>
    <row r="4" spans="1:14">
      <c r="A4" s="7">
        <v>3</v>
      </c>
      <c r="B4" s="4">
        <v>21.416523999999999</v>
      </c>
      <c r="C4" s="4">
        <v>91.980034000000003</v>
      </c>
      <c r="D4" s="5" t="s">
        <v>12</v>
      </c>
      <c r="E4" s="4" t="s">
        <v>13</v>
      </c>
      <c r="F4" s="4" t="s">
        <v>14</v>
      </c>
      <c r="G4" s="4">
        <v>7.4</v>
      </c>
      <c r="H4" s="4">
        <v>3.6</v>
      </c>
      <c r="I4" s="4">
        <v>32.26</v>
      </c>
      <c r="J4" s="4" t="s">
        <v>21</v>
      </c>
      <c r="K4" s="4" t="s">
        <v>22</v>
      </c>
      <c r="L4" s="4">
        <v>-140.5</v>
      </c>
      <c r="M4" s="4">
        <v>1.1184000000000001</v>
      </c>
      <c r="N4" s="8">
        <v>34.43</v>
      </c>
    </row>
    <row r="5" spans="1:14">
      <c r="A5" s="7">
        <v>4</v>
      </c>
      <c r="B5" s="4">
        <v>21.417149999999999</v>
      </c>
      <c r="C5" s="4">
        <v>91.981120000000004</v>
      </c>
      <c r="D5" s="5" t="s">
        <v>17</v>
      </c>
      <c r="E5" s="4" t="s">
        <v>18</v>
      </c>
      <c r="F5" s="4" t="s">
        <v>14</v>
      </c>
      <c r="G5" s="4">
        <v>6.86</v>
      </c>
      <c r="H5" s="4">
        <v>1.4</v>
      </c>
      <c r="I5" s="4">
        <v>31.91</v>
      </c>
      <c r="J5" s="4" t="s">
        <v>23</v>
      </c>
      <c r="K5" s="4" t="s">
        <v>24</v>
      </c>
      <c r="L5" s="4">
        <v>-161.4</v>
      </c>
      <c r="M5" s="4">
        <v>1.1184000000000001</v>
      </c>
      <c r="N5" s="8">
        <v>0.16</v>
      </c>
    </row>
    <row r="6" spans="1:14">
      <c r="A6" s="7">
        <v>5</v>
      </c>
      <c r="B6" s="4">
        <v>21.42051</v>
      </c>
      <c r="C6" s="4">
        <v>91.978185999999994</v>
      </c>
      <c r="D6" s="5" t="s">
        <v>12</v>
      </c>
      <c r="E6" s="4" t="s">
        <v>18</v>
      </c>
      <c r="F6" s="4" t="s">
        <v>14</v>
      </c>
      <c r="G6" s="4">
        <v>7.1</v>
      </c>
      <c r="H6" s="4">
        <v>1.6</v>
      </c>
      <c r="I6" s="4">
        <v>31.92</v>
      </c>
      <c r="J6" s="4" t="s">
        <v>25</v>
      </c>
      <c r="K6" s="4" t="s">
        <v>26</v>
      </c>
      <c r="L6" s="4">
        <v>-117.8</v>
      </c>
      <c r="M6" s="4">
        <v>1.1184000000000001</v>
      </c>
      <c r="N6" s="8">
        <v>0.31</v>
      </c>
    </row>
    <row r="7" spans="1:14">
      <c r="A7" s="7">
        <v>6</v>
      </c>
      <c r="B7" s="4">
        <v>21.420172999999998</v>
      </c>
      <c r="C7" s="4">
        <v>91.977332000000004</v>
      </c>
      <c r="D7" s="5" t="s">
        <v>27</v>
      </c>
      <c r="E7" s="4" t="s">
        <v>13</v>
      </c>
      <c r="F7" s="4" t="s">
        <v>14</v>
      </c>
      <c r="G7" s="4">
        <v>7.26</v>
      </c>
      <c r="H7" s="4">
        <v>3.4</v>
      </c>
      <c r="I7" s="4">
        <v>32.44</v>
      </c>
      <c r="J7" s="4" t="s">
        <v>28</v>
      </c>
      <c r="K7" s="4" t="s">
        <v>29</v>
      </c>
      <c r="L7" s="4">
        <v>-112.6</v>
      </c>
      <c r="M7" s="4">
        <v>1.1184000000000001</v>
      </c>
      <c r="N7" s="8">
        <v>34.409999999999997</v>
      </c>
    </row>
    <row r="8" spans="1:14">
      <c r="A8" s="7">
        <v>7</v>
      </c>
      <c r="B8" s="4">
        <v>21.424852999999999</v>
      </c>
      <c r="C8" s="4">
        <v>91.975564000000006</v>
      </c>
      <c r="D8" s="5" t="s">
        <v>30</v>
      </c>
      <c r="E8" s="4" t="s">
        <v>18</v>
      </c>
      <c r="F8" s="4" t="s">
        <v>14</v>
      </c>
      <c r="G8" s="4">
        <v>7.08</v>
      </c>
      <c r="H8" s="4">
        <v>1.6</v>
      </c>
      <c r="I8" s="4">
        <v>31.47</v>
      </c>
      <c r="J8" s="4" t="s">
        <v>31</v>
      </c>
      <c r="K8" s="4" t="s">
        <v>32</v>
      </c>
      <c r="L8" s="4">
        <v>-123.1</v>
      </c>
      <c r="M8" s="4">
        <v>1.1184000000000001</v>
      </c>
      <c r="N8" s="8">
        <v>0.19</v>
      </c>
    </row>
    <row r="9" spans="1:14">
      <c r="A9" s="7">
        <v>8</v>
      </c>
      <c r="B9" s="4">
        <v>21.424728000000002</v>
      </c>
      <c r="C9" s="4">
        <v>91.975564000000006</v>
      </c>
      <c r="D9" s="5" t="s">
        <v>33</v>
      </c>
      <c r="E9" s="4" t="s">
        <v>13</v>
      </c>
      <c r="F9" s="4" t="s">
        <v>14</v>
      </c>
      <c r="G9" s="4">
        <v>7.3</v>
      </c>
      <c r="H9" s="4">
        <v>3.6</v>
      </c>
      <c r="I9" s="4">
        <v>32.61</v>
      </c>
      <c r="J9" s="4" t="s">
        <v>34</v>
      </c>
      <c r="K9" s="4" t="s">
        <v>35</v>
      </c>
      <c r="L9" s="4">
        <v>-90.7</v>
      </c>
      <c r="M9" s="4">
        <v>1.1184000000000001</v>
      </c>
      <c r="N9" s="8">
        <v>34.47</v>
      </c>
    </row>
    <row r="10" spans="1:14">
      <c r="A10" s="7">
        <v>9</v>
      </c>
      <c r="B10" s="4">
        <v>21.427800999999999</v>
      </c>
      <c r="C10" s="4">
        <v>91.972260000000006</v>
      </c>
      <c r="D10" s="5" t="s">
        <v>36</v>
      </c>
      <c r="E10" s="4" t="s">
        <v>18</v>
      </c>
      <c r="F10" s="4" t="s">
        <v>14</v>
      </c>
      <c r="G10" s="4">
        <v>6.39</v>
      </c>
      <c r="H10" s="4">
        <v>1.7</v>
      </c>
      <c r="I10" s="4">
        <v>32.36</v>
      </c>
      <c r="J10" s="4" t="s">
        <v>37</v>
      </c>
      <c r="K10" s="4" t="s">
        <v>38</v>
      </c>
      <c r="L10" s="4">
        <v>-168.1</v>
      </c>
      <c r="M10" s="4">
        <v>1.1184000000000001</v>
      </c>
      <c r="N10" s="8">
        <v>0.57999999999999996</v>
      </c>
    </row>
    <row r="11" spans="1:14">
      <c r="A11" s="7">
        <v>10</v>
      </c>
      <c r="B11" s="4">
        <v>21.427174999999998</v>
      </c>
      <c r="C11" s="4">
        <v>91.971935000000002</v>
      </c>
      <c r="D11" s="5" t="s">
        <v>39</v>
      </c>
      <c r="E11" s="4" t="s">
        <v>13</v>
      </c>
      <c r="F11" s="4" t="s">
        <v>14</v>
      </c>
      <c r="G11" s="4">
        <v>7.07</v>
      </c>
      <c r="H11" s="4">
        <v>3.4</v>
      </c>
      <c r="I11" s="4">
        <v>32.9</v>
      </c>
      <c r="J11" s="4" t="s">
        <v>40</v>
      </c>
      <c r="K11" s="4" t="s">
        <v>41</v>
      </c>
      <c r="L11" s="4">
        <v>-101.3</v>
      </c>
      <c r="M11" s="4">
        <v>1.1184000000000001</v>
      </c>
      <c r="N11" s="8">
        <v>32.89</v>
      </c>
    </row>
    <row r="12" spans="1:14">
      <c r="A12" s="7">
        <v>11</v>
      </c>
      <c r="B12" s="4">
        <v>21.353449000000001</v>
      </c>
      <c r="C12" s="4">
        <v>92.024955000000006</v>
      </c>
      <c r="D12" s="5" t="s">
        <v>42</v>
      </c>
      <c r="E12" s="4" t="s">
        <v>18</v>
      </c>
      <c r="F12" s="4" t="s">
        <v>14</v>
      </c>
      <c r="G12" s="4">
        <v>6.71</v>
      </c>
      <c r="H12" s="4">
        <v>1.3</v>
      </c>
      <c r="I12" s="4">
        <v>31.28</v>
      </c>
      <c r="J12" s="4" t="s">
        <v>43</v>
      </c>
      <c r="K12" s="4" t="s">
        <v>44</v>
      </c>
      <c r="L12" s="4">
        <v>-142.69999999999999</v>
      </c>
      <c r="M12" s="4">
        <v>1.1184000000000001</v>
      </c>
      <c r="N12" s="8">
        <v>0.25</v>
      </c>
    </row>
    <row r="13" spans="1:14">
      <c r="A13" s="7">
        <v>12</v>
      </c>
      <c r="B13" s="4">
        <v>21.35444</v>
      </c>
      <c r="C13" s="4">
        <v>92.023893000000001</v>
      </c>
      <c r="D13" s="5" t="s">
        <v>45</v>
      </c>
      <c r="E13" s="4" t="s">
        <v>13</v>
      </c>
      <c r="F13" s="4" t="s">
        <v>14</v>
      </c>
      <c r="G13" s="4">
        <v>7.18</v>
      </c>
      <c r="H13" s="4">
        <v>3.9</v>
      </c>
      <c r="I13" s="4">
        <v>33.08</v>
      </c>
      <c r="J13" s="4" t="s">
        <v>46</v>
      </c>
      <c r="K13" s="4" t="s">
        <v>47</v>
      </c>
      <c r="L13" s="4">
        <v>-106.9</v>
      </c>
      <c r="M13" s="4">
        <v>1.1184000000000001</v>
      </c>
      <c r="N13" s="8">
        <v>34.49</v>
      </c>
    </row>
    <row r="14" spans="1:14">
      <c r="A14" s="7">
        <v>13</v>
      </c>
      <c r="B14" s="4">
        <v>21.214203999999999</v>
      </c>
      <c r="C14" s="4">
        <v>92.047904000000003</v>
      </c>
      <c r="D14" s="5" t="s">
        <v>48</v>
      </c>
      <c r="E14" s="4" t="s">
        <v>18</v>
      </c>
      <c r="F14" s="4" t="s">
        <v>14</v>
      </c>
      <c r="G14" s="4">
        <v>6.84</v>
      </c>
      <c r="H14" s="4">
        <v>1.9</v>
      </c>
      <c r="I14" s="4">
        <v>33.020000000000003</v>
      </c>
      <c r="J14" s="4" t="s">
        <v>49</v>
      </c>
      <c r="K14" s="4" t="s">
        <v>50</v>
      </c>
      <c r="L14" s="4">
        <v>-136.5</v>
      </c>
      <c r="M14" s="4">
        <v>1.1184000000000001</v>
      </c>
      <c r="N14" s="8">
        <v>0.34</v>
      </c>
    </row>
    <row r="15" spans="1:14">
      <c r="A15" s="7">
        <v>14</v>
      </c>
      <c r="B15" s="4">
        <v>21.214203999999999</v>
      </c>
      <c r="C15" s="4">
        <v>92.047751000000005</v>
      </c>
      <c r="D15" s="5" t="s">
        <v>48</v>
      </c>
      <c r="E15" s="4" t="s">
        <v>13</v>
      </c>
      <c r="F15" s="4" t="s">
        <v>14</v>
      </c>
      <c r="G15" s="4">
        <v>7.07</v>
      </c>
      <c r="H15" s="4">
        <v>2.7</v>
      </c>
      <c r="I15" s="4">
        <v>34.11</v>
      </c>
      <c r="J15" s="4" t="s">
        <v>51</v>
      </c>
      <c r="K15" s="4" t="s">
        <v>52</v>
      </c>
      <c r="L15" s="4">
        <v>-89.8</v>
      </c>
      <c r="M15" s="4">
        <v>1.1184000000000001</v>
      </c>
      <c r="N15" s="8">
        <v>34.54</v>
      </c>
    </row>
    <row r="16" spans="1:14">
      <c r="A16" s="7">
        <v>15</v>
      </c>
      <c r="B16" s="4">
        <v>21.130794000000002</v>
      </c>
      <c r="C16" s="4">
        <v>92.086804000000001</v>
      </c>
      <c r="D16" s="5" t="s">
        <v>53</v>
      </c>
      <c r="E16" s="4" t="s">
        <v>13</v>
      </c>
      <c r="F16" s="4" t="s">
        <v>14</v>
      </c>
      <c r="G16" s="4">
        <v>6.92</v>
      </c>
      <c r="H16" s="4">
        <v>2.9</v>
      </c>
      <c r="I16" s="4">
        <v>33.46</v>
      </c>
      <c r="J16" s="4" t="s">
        <v>54</v>
      </c>
      <c r="K16" s="4" t="s">
        <v>55</v>
      </c>
      <c r="L16" s="4">
        <v>-153.6</v>
      </c>
      <c r="M16" s="4">
        <v>1.1184000000000001</v>
      </c>
      <c r="N16" s="8">
        <v>34.61</v>
      </c>
    </row>
    <row r="17" spans="1:14">
      <c r="A17" s="7">
        <v>16</v>
      </c>
      <c r="B17" s="4">
        <v>21.130541999999998</v>
      </c>
      <c r="C17" s="4">
        <v>92.086958999999993</v>
      </c>
      <c r="D17" s="5" t="s">
        <v>53</v>
      </c>
      <c r="E17" s="4" t="s">
        <v>18</v>
      </c>
      <c r="F17" s="4" t="s">
        <v>14</v>
      </c>
      <c r="G17" s="4">
        <v>6.56</v>
      </c>
      <c r="H17" s="4">
        <v>1.3</v>
      </c>
      <c r="I17" s="4">
        <v>28.03</v>
      </c>
      <c r="J17" s="4" t="s">
        <v>56</v>
      </c>
      <c r="K17" s="4" t="s">
        <v>57</v>
      </c>
      <c r="L17" s="4">
        <v>-147.6</v>
      </c>
      <c r="M17" s="4">
        <v>1.1184000000000001</v>
      </c>
      <c r="N17" s="8">
        <v>1.19</v>
      </c>
    </row>
    <row r="18" spans="1:14" ht="37.200000000000003" customHeight="1">
      <c r="A18" s="12">
        <v>17</v>
      </c>
      <c r="B18" s="3">
        <v>20.776007</v>
      </c>
      <c r="C18" s="3">
        <v>92.32432</v>
      </c>
      <c r="D18" s="13" t="s">
        <v>58</v>
      </c>
      <c r="E18" s="3" t="s">
        <v>59</v>
      </c>
      <c r="F18" s="3" t="s">
        <v>14</v>
      </c>
      <c r="G18" s="3">
        <v>7.18</v>
      </c>
      <c r="H18" s="3">
        <v>4.0999999999999996</v>
      </c>
      <c r="I18" s="3">
        <v>29.72</v>
      </c>
      <c r="J18" s="3" t="s">
        <v>60</v>
      </c>
      <c r="K18" s="3" t="s">
        <v>61</v>
      </c>
      <c r="L18" s="3">
        <v>-125.4</v>
      </c>
      <c r="M18" s="3">
        <v>1.1184000000000001</v>
      </c>
      <c r="N18" s="14">
        <v>51.8</v>
      </c>
    </row>
    <row r="19" spans="1:14" ht="20.399999999999999" customHeight="1">
      <c r="A19"/>
      <c r="B19"/>
      <c r="C19"/>
      <c r="D19"/>
      <c r="E19"/>
      <c r="F19"/>
      <c r="G19"/>
      <c r="H19"/>
      <c r="I19"/>
      <c r="J19"/>
      <c r="K19"/>
      <c r="L19"/>
      <c r="M19"/>
      <c r="N19"/>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zoomScale="73" workbookViewId="0">
      <selection activeCell="J18" sqref="J18"/>
    </sheetView>
  </sheetViews>
  <sheetFormatPr defaultColWidth="13.44140625" defaultRowHeight="13.8"/>
  <cols>
    <col min="1" max="1" width="12" style="19" bestFit="1" customWidth="1"/>
    <col min="2" max="2" width="22.88671875" style="1" bestFit="1" customWidth="1"/>
    <col min="3" max="3" width="13.33203125" style="1" bestFit="1" customWidth="1"/>
    <col min="4" max="4" width="11.77734375" style="1" bestFit="1" customWidth="1"/>
    <col min="5" max="5" width="18.21875" style="1" bestFit="1" customWidth="1"/>
    <col min="6" max="6" width="18.77734375" style="1" bestFit="1" customWidth="1"/>
    <col min="7" max="7" width="18.6640625" style="1" bestFit="1" customWidth="1"/>
    <col min="8" max="8" width="21.33203125" style="1" bestFit="1" customWidth="1"/>
    <col min="9" max="10" width="13.5546875" style="1" bestFit="1" customWidth="1"/>
    <col min="11" max="16384" width="13.44140625" style="1"/>
  </cols>
  <sheetData>
    <row r="1" spans="1:10">
      <c r="A1" s="25" t="s">
        <v>0</v>
      </c>
      <c r="B1" s="26" t="s">
        <v>62</v>
      </c>
      <c r="C1" s="26" t="s">
        <v>63</v>
      </c>
      <c r="D1" s="26" t="s">
        <v>4</v>
      </c>
      <c r="E1" s="26" t="s">
        <v>5</v>
      </c>
      <c r="F1" s="26" t="s">
        <v>64</v>
      </c>
      <c r="G1" s="26" t="s">
        <v>65</v>
      </c>
      <c r="H1" s="26" t="s">
        <v>11</v>
      </c>
      <c r="I1" s="26" t="s">
        <v>66</v>
      </c>
      <c r="J1" s="27" t="s">
        <v>67</v>
      </c>
    </row>
    <row r="2" spans="1:10">
      <c r="A2" s="20">
        <v>1</v>
      </c>
      <c r="B2" s="15" t="s">
        <v>12</v>
      </c>
      <c r="C2" s="15" t="s">
        <v>13</v>
      </c>
      <c r="D2" s="15">
        <v>7.32</v>
      </c>
      <c r="E2" s="15">
        <v>2.6</v>
      </c>
      <c r="F2" s="15">
        <v>52580</v>
      </c>
      <c r="G2" s="15">
        <v>26290</v>
      </c>
      <c r="H2" s="15">
        <v>34.35</v>
      </c>
      <c r="I2" s="16">
        <v>90.62</v>
      </c>
      <c r="J2" s="23" t="s">
        <v>68</v>
      </c>
    </row>
    <row r="3" spans="1:10">
      <c r="A3" s="20">
        <v>2</v>
      </c>
      <c r="B3" s="15" t="s">
        <v>17</v>
      </c>
      <c r="C3" s="15" t="s">
        <v>18</v>
      </c>
      <c r="D3" s="15">
        <v>6.78</v>
      </c>
      <c r="E3" s="15">
        <v>1.5</v>
      </c>
      <c r="F3" s="15">
        <v>492</v>
      </c>
      <c r="G3" s="15">
        <v>244</v>
      </c>
      <c r="H3" s="15">
        <v>0.24</v>
      </c>
      <c r="I3" s="16">
        <v>94.95</v>
      </c>
      <c r="J3" s="23" t="s">
        <v>68</v>
      </c>
    </row>
    <row r="4" spans="1:10">
      <c r="A4" s="20">
        <v>3</v>
      </c>
      <c r="B4" s="15" t="s">
        <v>12</v>
      </c>
      <c r="C4" s="15" t="s">
        <v>13</v>
      </c>
      <c r="D4" s="15">
        <v>7.4</v>
      </c>
      <c r="E4" s="15">
        <v>3.6</v>
      </c>
      <c r="F4" s="15">
        <v>52620</v>
      </c>
      <c r="G4" s="15">
        <v>26330</v>
      </c>
      <c r="H4" s="15">
        <v>34.43</v>
      </c>
      <c r="I4" s="16">
        <v>86.01</v>
      </c>
      <c r="J4" s="23" t="s">
        <v>68</v>
      </c>
    </row>
    <row r="5" spans="1:10">
      <c r="A5" s="20">
        <v>4</v>
      </c>
      <c r="B5" s="15" t="s">
        <v>17</v>
      </c>
      <c r="C5" s="15" t="s">
        <v>18</v>
      </c>
      <c r="D5" s="15">
        <v>6.86</v>
      </c>
      <c r="E5" s="15">
        <v>1.4</v>
      </c>
      <c r="F5" s="15">
        <v>377</v>
      </c>
      <c r="G5" s="15">
        <v>166</v>
      </c>
      <c r="H5" s="15">
        <v>0.16</v>
      </c>
      <c r="I5" s="16">
        <v>93.37</v>
      </c>
      <c r="J5" s="23" t="s">
        <v>68</v>
      </c>
    </row>
    <row r="6" spans="1:10">
      <c r="A6" s="20">
        <v>5</v>
      </c>
      <c r="B6" s="15" t="s">
        <v>12</v>
      </c>
      <c r="C6" s="15" t="s">
        <v>18</v>
      </c>
      <c r="D6" s="15">
        <v>7.1</v>
      </c>
      <c r="E6" s="15">
        <v>1.6</v>
      </c>
      <c r="F6" s="15">
        <v>655</v>
      </c>
      <c r="G6" s="15">
        <v>327</v>
      </c>
      <c r="H6" s="15">
        <v>0.31</v>
      </c>
      <c r="I6" s="16">
        <v>91.08</v>
      </c>
      <c r="J6" s="23" t="s">
        <v>68</v>
      </c>
    </row>
    <row r="7" spans="1:10">
      <c r="A7" s="20">
        <v>6</v>
      </c>
      <c r="B7" s="15" t="s">
        <v>27</v>
      </c>
      <c r="C7" s="15" t="s">
        <v>13</v>
      </c>
      <c r="D7" s="15">
        <v>7.26</v>
      </c>
      <c r="E7" s="15">
        <v>3.4</v>
      </c>
      <c r="F7" s="15">
        <v>52680</v>
      </c>
      <c r="G7" s="15">
        <v>26340</v>
      </c>
      <c r="H7" s="15">
        <v>34.409999999999997</v>
      </c>
      <c r="I7" s="16">
        <v>83.52</v>
      </c>
      <c r="J7" s="23" t="s">
        <v>68</v>
      </c>
    </row>
    <row r="8" spans="1:10">
      <c r="A8" s="20">
        <v>7</v>
      </c>
      <c r="B8" s="15" t="s">
        <v>30</v>
      </c>
      <c r="C8" s="15" t="s">
        <v>18</v>
      </c>
      <c r="D8" s="15">
        <v>7.08</v>
      </c>
      <c r="E8" s="15">
        <v>1.6</v>
      </c>
      <c r="F8" s="15">
        <v>407</v>
      </c>
      <c r="G8" s="15">
        <v>203</v>
      </c>
      <c r="H8" s="15">
        <v>0.19</v>
      </c>
      <c r="I8" s="16">
        <v>90.4</v>
      </c>
      <c r="J8" s="23" t="s">
        <v>68</v>
      </c>
    </row>
    <row r="9" spans="1:10">
      <c r="A9" s="20">
        <v>8</v>
      </c>
      <c r="B9" s="15" t="s">
        <v>33</v>
      </c>
      <c r="C9" s="15" t="s">
        <v>13</v>
      </c>
      <c r="D9" s="15">
        <v>7.3</v>
      </c>
      <c r="E9" s="15">
        <v>3.6</v>
      </c>
      <c r="F9" s="15">
        <v>52700</v>
      </c>
      <c r="G9" s="15">
        <v>26360</v>
      </c>
      <c r="H9" s="15">
        <v>34.47</v>
      </c>
      <c r="I9" s="16">
        <v>83.26</v>
      </c>
      <c r="J9" s="23" t="s">
        <v>68</v>
      </c>
    </row>
    <row r="10" spans="1:10">
      <c r="A10" s="20">
        <v>9</v>
      </c>
      <c r="B10" s="15" t="s">
        <v>36</v>
      </c>
      <c r="C10" s="15" t="s">
        <v>18</v>
      </c>
      <c r="D10" s="15">
        <v>6.39</v>
      </c>
      <c r="E10" s="15">
        <v>1.7</v>
      </c>
      <c r="F10" s="15">
        <v>1237</v>
      </c>
      <c r="G10" s="15">
        <v>590</v>
      </c>
      <c r="H10" s="15">
        <v>0.57999999999999996</v>
      </c>
      <c r="I10" s="16">
        <v>104.67</v>
      </c>
      <c r="J10" s="22" t="s">
        <v>69</v>
      </c>
    </row>
    <row r="11" spans="1:10">
      <c r="A11" s="20">
        <v>10</v>
      </c>
      <c r="B11" s="15" t="s">
        <v>39</v>
      </c>
      <c r="C11" s="15" t="s">
        <v>13</v>
      </c>
      <c r="D11" s="15">
        <v>7.07</v>
      </c>
      <c r="E11" s="15">
        <v>3.4</v>
      </c>
      <c r="F11" s="15">
        <v>52530</v>
      </c>
      <c r="G11" s="15">
        <v>26310</v>
      </c>
      <c r="H11" s="15">
        <v>32.89</v>
      </c>
      <c r="I11" s="16">
        <v>78.28</v>
      </c>
      <c r="J11" s="23" t="s">
        <v>68</v>
      </c>
    </row>
    <row r="12" spans="1:10">
      <c r="A12" s="20">
        <v>11</v>
      </c>
      <c r="B12" s="15" t="s">
        <v>70</v>
      </c>
      <c r="C12" s="15" t="s">
        <v>18</v>
      </c>
      <c r="D12" s="15">
        <v>6.71</v>
      </c>
      <c r="E12" s="15">
        <v>1.3</v>
      </c>
      <c r="F12" s="15">
        <v>512</v>
      </c>
      <c r="G12" s="15">
        <v>255</v>
      </c>
      <c r="H12" s="15">
        <v>0.25</v>
      </c>
      <c r="I12" s="16">
        <v>98.24</v>
      </c>
      <c r="J12" s="23" t="s">
        <v>68</v>
      </c>
    </row>
    <row r="13" spans="1:10">
      <c r="A13" s="20">
        <v>12</v>
      </c>
      <c r="B13" s="15" t="s">
        <v>45</v>
      </c>
      <c r="C13" s="15" t="s">
        <v>13</v>
      </c>
      <c r="D13" s="15">
        <v>7.18</v>
      </c>
      <c r="E13" s="15">
        <v>3.9</v>
      </c>
      <c r="F13" s="15">
        <v>52810</v>
      </c>
      <c r="G13" s="15">
        <v>26400</v>
      </c>
      <c r="H13" s="15">
        <v>34.49</v>
      </c>
      <c r="I13" s="16">
        <v>77.900000000000006</v>
      </c>
      <c r="J13" s="23" t="s">
        <v>68</v>
      </c>
    </row>
    <row r="14" spans="1:10">
      <c r="A14" s="20">
        <v>13</v>
      </c>
      <c r="B14" s="15" t="s">
        <v>48</v>
      </c>
      <c r="C14" s="15" t="s">
        <v>18</v>
      </c>
      <c r="D14" s="15">
        <v>6.84</v>
      </c>
      <c r="E14" s="15">
        <v>1.9</v>
      </c>
      <c r="F14" s="15">
        <v>684</v>
      </c>
      <c r="G14" s="15">
        <v>342</v>
      </c>
      <c r="H14" s="15">
        <v>0.34</v>
      </c>
      <c r="I14" s="16">
        <v>90.7</v>
      </c>
      <c r="J14" s="23" t="s">
        <v>68</v>
      </c>
    </row>
    <row r="15" spans="1:10">
      <c r="A15" s="20">
        <v>14</v>
      </c>
      <c r="B15" s="15" t="s">
        <v>48</v>
      </c>
      <c r="C15" s="15" t="s">
        <v>13</v>
      </c>
      <c r="D15" s="15">
        <v>7.07</v>
      </c>
      <c r="E15" s="15">
        <v>2.7</v>
      </c>
      <c r="F15" s="15">
        <v>52930</v>
      </c>
      <c r="G15" s="15">
        <v>26460</v>
      </c>
      <c r="H15" s="15">
        <v>34.54</v>
      </c>
      <c r="I15" s="16">
        <v>83.05</v>
      </c>
      <c r="J15" s="23" t="s">
        <v>68</v>
      </c>
    </row>
    <row r="16" spans="1:10" ht="27.6">
      <c r="A16" s="20">
        <v>15</v>
      </c>
      <c r="B16" s="15" t="s">
        <v>53</v>
      </c>
      <c r="C16" s="15" t="s">
        <v>13</v>
      </c>
      <c r="D16" s="15">
        <v>6.92</v>
      </c>
      <c r="E16" s="15">
        <v>2.9</v>
      </c>
      <c r="F16" s="15">
        <v>52940</v>
      </c>
      <c r="G16" s="15">
        <v>26480</v>
      </c>
      <c r="H16" s="15">
        <v>34.61</v>
      </c>
      <c r="I16" s="16">
        <v>81.96</v>
      </c>
      <c r="J16" s="23" t="s">
        <v>68</v>
      </c>
    </row>
    <row r="17" spans="1:10" ht="27.6">
      <c r="A17" s="20">
        <v>16</v>
      </c>
      <c r="B17" s="15" t="s">
        <v>53</v>
      </c>
      <c r="C17" s="15" t="s">
        <v>18</v>
      </c>
      <c r="D17" s="15">
        <v>6.56</v>
      </c>
      <c r="E17" s="15">
        <v>1.3</v>
      </c>
      <c r="F17" s="15">
        <v>2376</v>
      </c>
      <c r="G17" s="15">
        <v>1175</v>
      </c>
      <c r="H17" s="15">
        <v>1.19</v>
      </c>
      <c r="I17" s="16">
        <v>103.32</v>
      </c>
      <c r="J17" s="22" t="s">
        <v>69</v>
      </c>
    </row>
    <row r="18" spans="1:10" ht="33" customHeight="1">
      <c r="A18" s="21">
        <v>17</v>
      </c>
      <c r="B18" s="17" t="s">
        <v>71</v>
      </c>
      <c r="C18" s="17" t="s">
        <v>59</v>
      </c>
      <c r="D18" s="17">
        <v>7.18</v>
      </c>
      <c r="E18" s="17">
        <v>4.0999999999999996</v>
      </c>
      <c r="F18" s="17">
        <v>78600</v>
      </c>
      <c r="G18" s="17">
        <v>39300</v>
      </c>
      <c r="H18" s="17">
        <v>51.8</v>
      </c>
      <c r="I18" s="18">
        <v>76.55</v>
      </c>
      <c r="J18" s="24" t="s">
        <v>72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525F-A1B9-4FA1-A1E0-5427149AAF8F}">
  <dimension ref="C1:M17"/>
  <sheetViews>
    <sheetView topLeftCell="B1" zoomScale="109" workbookViewId="0">
      <selection activeCell="G22" sqref="G22"/>
    </sheetView>
  </sheetViews>
  <sheetFormatPr defaultRowHeight="14.4"/>
  <cols>
    <col min="3" max="3" width="12.44140625" bestFit="1" customWidth="1"/>
    <col min="4" max="4" width="13.21875" bestFit="1" customWidth="1"/>
    <col min="5" max="5" width="19.6640625" bestFit="1" customWidth="1"/>
    <col min="6" max="6" width="19.88671875" bestFit="1" customWidth="1"/>
    <col min="7" max="7" width="14.5546875" bestFit="1" customWidth="1"/>
    <col min="9" max="9" width="37.77734375" bestFit="1" customWidth="1"/>
    <col min="10" max="12" width="12.44140625" bestFit="1" customWidth="1"/>
    <col min="13" max="13" width="10.77734375" bestFit="1" customWidth="1"/>
  </cols>
  <sheetData>
    <row r="1" spans="3:13">
      <c r="C1" s="34" t="s">
        <v>81</v>
      </c>
      <c r="D1" s="35"/>
      <c r="E1" s="35"/>
      <c r="F1" s="35"/>
      <c r="G1" s="35"/>
      <c r="H1" s="35"/>
      <c r="I1" s="35"/>
      <c r="J1" s="35"/>
      <c r="K1" s="35"/>
      <c r="L1" s="35"/>
      <c r="M1" s="36"/>
    </row>
    <row r="2" spans="3:13" ht="15" thickBot="1">
      <c r="C2" s="37"/>
      <c r="D2" s="38"/>
      <c r="E2" s="38"/>
      <c r="F2" s="38"/>
      <c r="G2" s="38"/>
      <c r="H2" s="38"/>
      <c r="I2" s="38"/>
      <c r="J2" s="38"/>
      <c r="K2" s="38"/>
      <c r="L2" s="38"/>
      <c r="M2" s="39"/>
    </row>
    <row r="3" spans="3:13">
      <c r="C3" s="32" t="s">
        <v>63</v>
      </c>
      <c r="D3" s="33" t="s">
        <v>76</v>
      </c>
      <c r="E3" s="33" t="s">
        <v>77</v>
      </c>
      <c r="F3" s="33" t="s">
        <v>78</v>
      </c>
      <c r="G3" s="33" t="s">
        <v>79</v>
      </c>
      <c r="I3" s="32" t="s">
        <v>79</v>
      </c>
      <c r="J3" s="32" t="s">
        <v>63</v>
      </c>
      <c r="K3" s="33"/>
      <c r="L3" s="33"/>
      <c r="M3" s="33"/>
    </row>
    <row r="4" spans="3:13">
      <c r="C4" s="29" t="s">
        <v>18</v>
      </c>
      <c r="D4" s="30">
        <v>6.7900000000000009</v>
      </c>
      <c r="E4" s="30">
        <v>1.5375000000000001</v>
      </c>
      <c r="F4" s="30">
        <v>412.75</v>
      </c>
      <c r="G4" s="30">
        <v>95.841250000000002</v>
      </c>
      <c r="I4" s="28" t="s">
        <v>62</v>
      </c>
      <c r="J4" s="29" t="s">
        <v>18</v>
      </c>
      <c r="K4" s="29" t="s">
        <v>13</v>
      </c>
      <c r="L4" s="29" t="s">
        <v>59</v>
      </c>
      <c r="M4" s="29" t="s">
        <v>75</v>
      </c>
    </row>
    <row r="5" spans="3:13">
      <c r="C5" s="29" t="s">
        <v>13</v>
      </c>
      <c r="D5" s="30">
        <v>7.19</v>
      </c>
      <c r="E5" s="30">
        <v>3.2624999999999993</v>
      </c>
      <c r="F5" s="30">
        <v>26371.25</v>
      </c>
      <c r="G5" s="30">
        <v>83.074999999999989</v>
      </c>
      <c r="I5" s="29" t="s">
        <v>53</v>
      </c>
      <c r="J5" s="30">
        <v>103.32</v>
      </c>
      <c r="K5" s="30">
        <v>81.96</v>
      </c>
      <c r="L5" s="30"/>
      <c r="M5" s="30">
        <v>92.639999999999986</v>
      </c>
    </row>
    <row r="6" spans="3:13">
      <c r="C6" s="29" t="s">
        <v>59</v>
      </c>
      <c r="D6" s="30">
        <v>7.18</v>
      </c>
      <c r="E6" s="30">
        <v>4.0999999999999996</v>
      </c>
      <c r="F6" s="30">
        <v>39300</v>
      </c>
      <c r="G6" s="30">
        <v>76.55</v>
      </c>
      <c r="I6" s="29" t="s">
        <v>45</v>
      </c>
      <c r="J6" s="30"/>
      <c r="K6" s="30">
        <v>77.900000000000006</v>
      </c>
      <c r="L6" s="30"/>
      <c r="M6" s="30">
        <v>77.900000000000006</v>
      </c>
    </row>
    <row r="7" spans="3:13">
      <c r="C7" s="29" t="s">
        <v>75</v>
      </c>
      <c r="D7" s="30">
        <v>7.001176470588236</v>
      </c>
      <c r="E7" s="30">
        <v>2.5</v>
      </c>
      <c r="F7" s="30">
        <v>14916</v>
      </c>
      <c r="G7" s="30">
        <v>88.698823529411769</v>
      </c>
      <c r="I7" s="29" t="s">
        <v>48</v>
      </c>
      <c r="J7" s="30">
        <v>90.7</v>
      </c>
      <c r="K7" s="30">
        <v>83.05</v>
      </c>
      <c r="L7" s="30"/>
      <c r="M7" s="30">
        <v>86.875</v>
      </c>
    </row>
    <row r="8" spans="3:13">
      <c r="I8" s="29" t="s">
        <v>70</v>
      </c>
      <c r="J8" s="30">
        <v>98.24</v>
      </c>
      <c r="K8" s="30"/>
      <c r="L8" s="30"/>
      <c r="M8" s="30">
        <v>98.24</v>
      </c>
    </row>
    <row r="9" spans="3:13">
      <c r="I9" s="29" t="s">
        <v>17</v>
      </c>
      <c r="J9" s="30">
        <v>94.16</v>
      </c>
      <c r="K9" s="30"/>
      <c r="L9" s="30"/>
      <c r="M9" s="30">
        <v>94.16</v>
      </c>
    </row>
    <row r="10" spans="3:13">
      <c r="I10" s="29" t="s">
        <v>12</v>
      </c>
      <c r="J10" s="30">
        <v>91.08</v>
      </c>
      <c r="K10" s="30">
        <v>88.314999999999998</v>
      </c>
      <c r="L10" s="30"/>
      <c r="M10" s="30">
        <v>89.236666666666665</v>
      </c>
    </row>
    <row r="11" spans="3:13">
      <c r="I11" s="29" t="s">
        <v>39</v>
      </c>
      <c r="J11" s="30"/>
      <c r="K11" s="30">
        <v>78.28</v>
      </c>
      <c r="L11" s="30"/>
      <c r="M11" s="30">
        <v>78.28</v>
      </c>
    </row>
    <row r="12" spans="3:13">
      <c r="D12" s="28" t="s">
        <v>67</v>
      </c>
      <c r="E12" s="29" t="s">
        <v>80</v>
      </c>
      <c r="I12" s="29" t="s">
        <v>36</v>
      </c>
      <c r="J12" s="30">
        <v>104.67</v>
      </c>
      <c r="K12" s="30"/>
      <c r="L12" s="30"/>
      <c r="M12" s="30">
        <v>104.67</v>
      </c>
    </row>
    <row r="13" spans="3:13">
      <c r="D13" s="29" t="s">
        <v>69</v>
      </c>
      <c r="E13" s="31">
        <v>2</v>
      </c>
      <c r="I13" s="29" t="s">
        <v>71</v>
      </c>
      <c r="J13" s="30"/>
      <c r="K13" s="30"/>
      <c r="L13" s="30">
        <v>76.55</v>
      </c>
      <c r="M13" s="30">
        <v>76.55</v>
      </c>
    </row>
    <row r="14" spans="3:13">
      <c r="D14" s="29" t="s">
        <v>68</v>
      </c>
      <c r="E14" s="31">
        <v>14</v>
      </c>
      <c r="I14" s="29" t="s">
        <v>30</v>
      </c>
      <c r="J14" s="30">
        <v>90.4</v>
      </c>
      <c r="K14" s="30"/>
      <c r="L14" s="30"/>
      <c r="M14" s="30">
        <v>90.4</v>
      </c>
    </row>
    <row r="15" spans="3:13">
      <c r="D15" s="29" t="s">
        <v>72</v>
      </c>
      <c r="E15" s="31">
        <v>1</v>
      </c>
      <c r="I15" s="29" t="s">
        <v>27</v>
      </c>
      <c r="J15" s="30"/>
      <c r="K15" s="30">
        <v>83.52</v>
      </c>
      <c r="L15" s="30"/>
      <c r="M15" s="30">
        <v>83.52</v>
      </c>
    </row>
    <row r="16" spans="3:13">
      <c r="D16" s="29" t="s">
        <v>75</v>
      </c>
      <c r="E16" s="31">
        <v>17</v>
      </c>
      <c r="I16" s="29" t="s">
        <v>33</v>
      </c>
      <c r="J16" s="30"/>
      <c r="K16" s="30">
        <v>83.26</v>
      </c>
      <c r="L16" s="30"/>
      <c r="M16" s="30">
        <v>83.26</v>
      </c>
    </row>
    <row r="17" spans="9:13">
      <c r="I17" s="29" t="s">
        <v>75</v>
      </c>
      <c r="J17" s="30">
        <v>95.841249999999988</v>
      </c>
      <c r="K17" s="30">
        <v>83.075000000000003</v>
      </c>
      <c r="L17" s="30">
        <v>76.55</v>
      </c>
      <c r="M17" s="30">
        <v>88.698823529411769</v>
      </c>
    </row>
  </sheetData>
  <mergeCells count="1">
    <mergeCell ref="C1: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4BABA-8DDC-4AAF-91D9-0040128C5BC7}">
  <dimension ref="A1"/>
  <sheetViews>
    <sheetView showGridLines="0" topLeftCell="H6" zoomScale="74" workbookViewId="0">
      <selection activeCell="Z37" sqref="Z37"/>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Water Data</vt:lpstr>
      <vt:lpstr>WQI Calculation</vt:lpstr>
      <vt:lpstr>WQI Pivot Table</vt:lpstr>
      <vt:lpstr>WQI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Amir Hamja Ratul</cp:lastModifiedBy>
  <dcterms:created xsi:type="dcterms:W3CDTF">2026-08-05T23:05:24Z</dcterms:created>
  <dcterms:modified xsi:type="dcterms:W3CDTF">2026-08-06T10:34:58Z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2C25F872921540C3985D751E99FDE957_11</vt:lpwstr>
  </property>
  <property fmtid="{D5CDD505-2E9C-101B-9397-08002B2CF9AE}" pid="3" name="KSOProductBuildVer">
    <vt:lpwstr>1033-12.1.0.28032</vt:lpwstr>
  </property>
  <property fmtid="{D5CDD505-2E9C-101B-9397-08002B2CF9AE}" pid="4" name="CalculationRule">
    <vt:i4>1</vt:i4>
  </property>
</Properties>
</file>